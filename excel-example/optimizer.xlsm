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70" yWindow="555" windowWidth="24615" windowHeight="11190"/>
  </bookViews>
  <sheets>
    <sheet name="Calculation" sheetId="1" r:id="rId1"/>
    <sheet name="Sheet2" sheetId="2" r:id="rId2"/>
    <sheet name="Sheet3" sheetId="3" r:id="rId3"/>
  </sheets>
  <definedNames>
    <definedName name="solver_adj" localSheetId="0" hidden="1">Calculation!$B$1:$E$1</definedName>
    <definedName name="solver_adj">Calculation!$B$1:$E$1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</definedName>
    <definedName name="solver_lhs1" localSheetId="0" hidden="1">Calculation!$F$1</definedName>
    <definedName name="solver_lhs1">Calculation!$F$1</definedName>
    <definedName name="solver_lhs10" localSheetId="0" hidden="1">Calculation!$E$1</definedName>
    <definedName name="solver_lhs2" localSheetId="0" hidden="1">Calculation!$F$4</definedName>
    <definedName name="solver_lhs2">Calculation!$B$1</definedName>
    <definedName name="solver_lhs3" localSheetId="0" hidden="1">Calculation!$B$1</definedName>
    <definedName name="solver_lhs3">Calculation!$B$1</definedName>
    <definedName name="solver_lhs4" localSheetId="0" hidden="1">Calculation!$B$1</definedName>
    <definedName name="solver_lhs4">Calculation!$C$1</definedName>
    <definedName name="solver_lhs5" localSheetId="0" hidden="1">Calculation!$C$1</definedName>
    <definedName name="solver_lhs5">Calculation!$C$1</definedName>
    <definedName name="solver_lhs6" localSheetId="0" hidden="1">Calculation!$C$1</definedName>
    <definedName name="solver_lhs6">Calculation!$D$1</definedName>
    <definedName name="solver_lhs7" localSheetId="0" hidden="1">Calculation!$D$1</definedName>
    <definedName name="solver_lhs7">Calculation!$D$1</definedName>
    <definedName name="solver_lhs8" localSheetId="0" hidden="1">Calculation!$D$1</definedName>
    <definedName name="solver_lhs8">Calculation!$E$1</definedName>
    <definedName name="solver_lhs9" localSheetId="0" hidden="1">Calculation!$E$1</definedName>
    <definedName name="solver_lhs9">Calculation!$E$1</definedName>
    <definedName name="solver_lin" localSheetId="0" hidden="1">2</definedName>
    <definedName name="solver_neg" localSheetId="0" hidden="1">2</definedName>
    <definedName name="solver_num" localSheetId="0" hidden="1">10</definedName>
    <definedName name="solver_nwt" localSheetId="0" hidden="1">1</definedName>
    <definedName name="solver_opt" localSheetId="0" hidden="1">Calculation!$H$1</definedName>
    <definedName name="solver_opt">Calculation!$H$1</definedName>
    <definedName name="solver_pre" localSheetId="0" hidden="1">0.000001</definedName>
    <definedName name="solver_rel1" localSheetId="0" hidden="1">2</definedName>
    <definedName name="solver_rel10" localSheetId="0" hidden="1">3</definedName>
    <definedName name="solver_rel2" localSheetId="0" hidden="1">2</definedName>
    <definedName name="solver_rel3" localSheetId="0" hidden="1">1</definedName>
    <definedName name="solver_rel4" localSheetId="0" hidden="1">3</definedName>
    <definedName name="solver_rel5" localSheetId="0" hidden="1">1</definedName>
    <definedName name="solver_rel6" localSheetId="0" hidden="1">3</definedName>
    <definedName name="solver_rel7" localSheetId="0" hidden="1">1</definedName>
    <definedName name="solver_rel8" localSheetId="0" hidden="1">3</definedName>
    <definedName name="solver_rel9" localSheetId="0" hidden="1">1</definedName>
    <definedName name="solver_rhs1" localSheetId="0" hidden="1">1</definedName>
    <definedName name="solver_rhs10" localSheetId="0" hidden="1">0</definedName>
    <definedName name="solver_rhs2" localSheetId="0" hidden="1">1</definedName>
    <definedName name="solver_rhs3" localSheetId="0" hidden="1">1</definedName>
    <definedName name="solver_rhs4" localSheetId="0" hidden="1">0</definedName>
    <definedName name="solver_rhs5" localSheetId="0" hidden="1">1</definedName>
    <definedName name="solver_rhs6" localSheetId="0" hidden="1">0</definedName>
    <definedName name="solver_rhs7" localSheetId="0" hidden="1">1</definedName>
    <definedName name="solver_rhs8" localSheetId="0" hidden="1">0</definedName>
    <definedName name="solver_rhs9" localSheetId="0" hidden="1">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2</definedName>
    <definedName name="solver_val" localSheetId="0" hidden="1">0</definedName>
  </definedNames>
  <calcPr calcId="125725" iterateDelta="1E-4"/>
</workbook>
</file>

<file path=xl/calcChain.xml><?xml version="1.0" encoding="utf-8"?>
<calcChain xmlns="http://schemas.openxmlformats.org/spreadsheetml/2006/main">
  <c r="G31" i="1"/>
  <c r="H31" s="1"/>
  <c r="G30"/>
  <c r="H30" s="1"/>
  <c r="G29"/>
  <c r="H29" s="1"/>
  <c r="G28"/>
  <c r="H28" s="1"/>
  <c r="G27"/>
  <c r="H27" s="1"/>
  <c r="G26"/>
  <c r="H26" s="1"/>
  <c r="G25"/>
  <c r="H25" s="1"/>
  <c r="G24"/>
  <c r="H24" s="1"/>
  <c r="G23"/>
  <c r="H23" s="1"/>
  <c r="G22"/>
  <c r="H22" s="1"/>
  <c r="G21"/>
  <c r="H21" s="1"/>
  <c r="G20"/>
  <c r="H20" s="1"/>
  <c r="G19"/>
  <c r="H19" s="1"/>
  <c r="G18"/>
  <c r="H18" s="1"/>
  <c r="G17"/>
  <c r="H17" s="1"/>
  <c r="G16"/>
  <c r="H16" s="1"/>
  <c r="G15"/>
  <c r="H15" s="1"/>
  <c r="G14"/>
  <c r="H14" s="1"/>
  <c r="G13"/>
  <c r="H13" s="1"/>
  <c r="G12"/>
  <c r="H12" s="1"/>
  <c r="G11"/>
  <c r="H11" s="1"/>
  <c r="G10"/>
  <c r="H10" s="1"/>
  <c r="G9"/>
  <c r="H9" s="1"/>
  <c r="G8"/>
  <c r="H8" s="1"/>
  <c r="G7"/>
  <c r="H7" s="1"/>
  <c r="F1"/>
  <c r="E4"/>
  <c r="D4"/>
  <c r="C4"/>
  <c r="B4"/>
  <c r="F4" l="1"/>
  <c r="H1"/>
</calcChain>
</file>

<file path=xl/sharedStrings.xml><?xml version="1.0" encoding="utf-8"?>
<sst xmlns="http://schemas.openxmlformats.org/spreadsheetml/2006/main" count="19" uniqueCount="19">
  <si>
    <t>Weights</t>
  </si>
  <si>
    <t>StdDev of Residual</t>
  </si>
  <si>
    <t>Upper Limit</t>
  </si>
  <si>
    <r>
      <t xml:space="preserve">Run the </t>
    </r>
    <r>
      <rPr>
        <b/>
        <sz val="11"/>
        <color rgb="FF000000"/>
        <rFont val="Calibri"/>
        <family val="2"/>
      </rPr>
      <t>CalculateWeights</t>
    </r>
    <r>
      <rPr>
        <sz val="11"/>
        <color rgb="FF000000"/>
        <rFont val="Calibri"/>
        <family val="2"/>
      </rPr>
      <t xml:space="preserve"> macro for results</t>
    </r>
  </si>
  <si>
    <t>Lower Limit</t>
  </si>
  <si>
    <t>Green = Objective function to minimise</t>
  </si>
  <si>
    <t>Red = Constraints</t>
  </si>
  <si>
    <t>Date</t>
  </si>
  <si>
    <t>Factor 1</t>
  </si>
  <si>
    <t>Factor 2</t>
  </si>
  <si>
    <t>Factor 3</t>
  </si>
  <si>
    <t>Factor 4</t>
  </si>
  <si>
    <t>Actual Return</t>
  </si>
  <si>
    <t>Simulated Return</t>
  </si>
  <si>
    <t>Residual</t>
  </si>
  <si>
    <t>Yellow = Values to solve for</t>
  </si>
  <si>
    <t>Notes:</t>
  </si>
  <si>
    <t>Absolute Weight</t>
  </si>
  <si>
    <t>Uses the SOLVER Add-In</t>
  </si>
</sst>
</file>

<file path=xl/styles.xml><?xml version="1.0" encoding="utf-8"?>
<styleSheet xmlns="http://schemas.openxmlformats.org/spreadsheetml/2006/main">
  <numFmts count="4">
    <numFmt numFmtId="164" formatCode="[$-1C09]yyyy/mm/dd"/>
    <numFmt numFmtId="165" formatCode="0.0000000"/>
    <numFmt numFmtId="166" formatCode="[$-1C09]General"/>
    <numFmt numFmtId="167" formatCode="[$R-1C09]&quot; &quot;#,##0.00;[Red][$R-1C09]&quot;-&quot;#,##0.00"/>
  </numFmts>
  <fonts count="4">
    <font>
      <sz val="11"/>
      <color rgb="FF000000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E6FF00"/>
        <bgColor rgb="FFE6FF00"/>
      </patternFill>
    </fill>
    <fill>
      <patternFill patternType="solid">
        <fgColor rgb="FFFF0000"/>
        <bgColor rgb="FFFF0000"/>
      </patternFill>
    </fill>
    <fill>
      <patternFill patternType="solid">
        <fgColor rgb="FF00FF00"/>
        <bgColor rgb="FF00FF00"/>
      </patternFill>
    </fill>
  </fills>
  <borders count="1">
    <border>
      <left/>
      <right/>
      <top/>
      <bottom/>
      <diagonal/>
    </border>
  </borders>
  <cellStyleXfs count="5">
    <xf numFmtId="166" fontId="0" fillId="0" borderId="0"/>
    <xf numFmtId="166" fontId="1" fillId="0" borderId="0">
      <alignment horizontal="center"/>
    </xf>
    <xf numFmtId="166" fontId="1" fillId="0" borderId="0">
      <alignment horizontal="center" textRotation="90"/>
    </xf>
    <xf numFmtId="166" fontId="2" fillId="0" borderId="0"/>
    <xf numFmtId="167" fontId="2" fillId="0" borderId="0"/>
  </cellStyleXfs>
  <cellXfs count="15">
    <xf numFmtId="166" fontId="0" fillId="0" borderId="0" xfId="0"/>
    <xf numFmtId="164" fontId="3" fillId="0" borderId="0" xfId="0" applyNumberFormat="1" applyFont="1" applyAlignment="1">
      <alignment horizontal="right"/>
    </xf>
    <xf numFmtId="165" fontId="0" fillId="2" borderId="0" xfId="0" applyNumberFormat="1" applyFill="1"/>
    <xf numFmtId="166" fontId="3" fillId="3" borderId="0" xfId="0" applyFont="1" applyFill="1" applyAlignment="1">
      <alignment horizontal="center"/>
    </xf>
    <xf numFmtId="166" fontId="0" fillId="0" borderId="0" xfId="0" applyAlignment="1">
      <alignment horizontal="center"/>
    </xf>
    <xf numFmtId="165" fontId="0" fillId="4" borderId="0" xfId="0" applyNumberFormat="1" applyFill="1"/>
    <xf numFmtId="166" fontId="0" fillId="3" borderId="0" xfId="0" applyFill="1"/>
    <xf numFmtId="166" fontId="0" fillId="0" borderId="0" xfId="0" applyBorder="1" applyAlignment="1">
      <alignment horizontal="left"/>
    </xf>
    <xf numFmtId="166" fontId="0" fillId="0" borderId="0" xfId="0" applyFont="1" applyAlignment="1">
      <alignment horizontal="left"/>
    </xf>
    <xf numFmtId="166" fontId="0" fillId="0" borderId="0" xfId="0" applyFill="1"/>
    <xf numFmtId="165" fontId="0" fillId="0" borderId="0" xfId="0" applyNumberFormat="1"/>
    <xf numFmtId="164" fontId="0" fillId="0" borderId="0" xfId="0" applyNumberFormat="1"/>
    <xf numFmtId="164" fontId="3" fillId="0" borderId="0" xfId="0" applyNumberFormat="1" applyFont="1" applyAlignment="1">
      <alignment horizontal="center"/>
    </xf>
    <xf numFmtId="166" fontId="3" fillId="0" borderId="0" xfId="0" applyFont="1" applyAlignment="1">
      <alignment horizontal="center"/>
    </xf>
    <xf numFmtId="165" fontId="3" fillId="0" borderId="0" xfId="0" applyNumberFormat="1" applyFont="1"/>
  </cellXfs>
  <cellStyles count="5">
    <cellStyle name="Heading" xfId="1"/>
    <cellStyle name="Heading1" xfId="2"/>
    <cellStyle name="Normal" xfId="0" builtinId="0" customBuiltin="1"/>
    <cellStyle name="Result" xfId="3"/>
    <cellStyle name="Result2" xfId="4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31"/>
  <sheetViews>
    <sheetView tabSelected="1" workbookViewId="0"/>
  </sheetViews>
  <sheetFormatPr defaultRowHeight="13.9"/>
  <cols>
    <col min="1" max="1" width="18.5703125" style="11" customWidth="1"/>
    <col min="2" max="5" width="17" customWidth="1"/>
    <col min="6" max="7" width="24.28515625" customWidth="1"/>
    <col min="8" max="8" width="17" customWidth="1"/>
    <col min="9" max="9" width="11.5703125" customWidth="1"/>
    <col min="10" max="13" width="17" customWidth="1"/>
    <col min="14" max="1024" width="11.5703125" customWidth="1"/>
  </cols>
  <sheetData>
    <row r="1" spans="1:13" ht="15">
      <c r="A1" s="1" t="s">
        <v>0</v>
      </c>
      <c r="B1" s="2">
        <v>0.58430319099170258</v>
      </c>
      <c r="C1" s="2">
        <v>0</v>
      </c>
      <c r="D1" s="2">
        <v>0.18666678286386329</v>
      </c>
      <c r="E1" s="2">
        <v>0.22903002614443424</v>
      </c>
      <c r="F1" s="3">
        <f>SUM(B1:E1)</f>
        <v>1</v>
      </c>
      <c r="G1" s="4" t="s">
        <v>1</v>
      </c>
      <c r="H1" s="5">
        <f>STDEV(H7:H31)</f>
        <v>1.9089598072141487E-2</v>
      </c>
    </row>
    <row r="2" spans="1:13" ht="15">
      <c r="A2" s="1" t="s">
        <v>2</v>
      </c>
      <c r="B2" s="6">
        <v>1</v>
      </c>
      <c r="C2" s="6">
        <v>1</v>
      </c>
      <c r="D2" s="6">
        <v>1</v>
      </c>
      <c r="E2" s="6">
        <v>1</v>
      </c>
      <c r="J2" s="7" t="s">
        <v>3</v>
      </c>
      <c r="K2" s="8"/>
      <c r="L2" s="8"/>
      <c r="M2" s="8"/>
    </row>
    <row r="3" spans="1:13" ht="15">
      <c r="A3" s="1" t="s">
        <v>4</v>
      </c>
      <c r="B3" s="6">
        <v>0</v>
      </c>
      <c r="C3" s="6">
        <v>0</v>
      </c>
      <c r="D3" s="6">
        <v>0</v>
      </c>
      <c r="E3" s="6">
        <v>0</v>
      </c>
    </row>
    <row r="4" spans="1:13" ht="15">
      <c r="A4" s="1" t="s">
        <v>17</v>
      </c>
      <c r="B4" s="9">
        <f>ABS(B1)</f>
        <v>0.58430319099170258</v>
      </c>
      <c r="C4" s="9">
        <f t="shared" ref="C4:E4" si="0">ABS(C1)</f>
        <v>0</v>
      </c>
      <c r="D4" s="9">
        <f t="shared" si="0"/>
        <v>0.18666678286386329</v>
      </c>
      <c r="E4" s="9">
        <f t="shared" si="0"/>
        <v>0.22903002614443424</v>
      </c>
      <c r="F4" s="3">
        <f>SUM(B4:E4)</f>
        <v>1</v>
      </c>
      <c r="J4" s="10" t="s">
        <v>5</v>
      </c>
    </row>
    <row r="5" spans="1:13" ht="15">
      <c r="J5" s="10" t="s">
        <v>6</v>
      </c>
    </row>
    <row r="6" spans="1:13" ht="15">
      <c r="A6" s="12" t="s">
        <v>7</v>
      </c>
      <c r="B6" s="13" t="s">
        <v>8</v>
      </c>
      <c r="C6" s="13" t="s">
        <v>9</v>
      </c>
      <c r="D6" s="13" t="s">
        <v>10</v>
      </c>
      <c r="E6" s="13" t="s">
        <v>11</v>
      </c>
      <c r="F6" s="13" t="s">
        <v>12</v>
      </c>
      <c r="G6" s="13" t="s">
        <v>13</v>
      </c>
      <c r="H6" s="13" t="s">
        <v>14</v>
      </c>
      <c r="J6" s="10" t="s">
        <v>15</v>
      </c>
    </row>
    <row r="7" spans="1:13" ht="15">
      <c r="A7" s="11">
        <v>38291</v>
      </c>
      <c r="B7" s="10">
        <v>2.0400000000000001E-2</v>
      </c>
      <c r="C7" s="10">
        <v>-8.6729032959860702E-2</v>
      </c>
      <c r="D7" s="10">
        <v>6.2084206044973299E-2</v>
      </c>
      <c r="E7" s="10">
        <v>8.5371438235828198E-2</v>
      </c>
      <c r="F7" s="10">
        <v>7.9500000000000001E-2</v>
      </c>
      <c r="G7" s="10">
        <f>SUMPRODUCT($B$1:$E$1,B7:E7)</f>
        <v>4.3061466836442797E-2</v>
      </c>
      <c r="H7" s="10">
        <f>G7-F7</f>
        <v>-3.6438533163557205E-2</v>
      </c>
    </row>
    <row r="8" spans="1:13" ht="15">
      <c r="A8" s="11">
        <v>38321</v>
      </c>
      <c r="B8" s="10">
        <v>8.5299999999999904E-2</v>
      </c>
      <c r="C8" s="10">
        <v>1.5674690615434101E-2</v>
      </c>
      <c r="D8" s="10">
        <v>8.5198830519728902E-2</v>
      </c>
      <c r="E8" s="10">
        <v>0.13293437833496299</v>
      </c>
      <c r="F8" s="10">
        <v>0.1144</v>
      </c>
      <c r="G8" s="10">
        <f t="shared" ref="G8:G31" si="1">SUMPRODUCT($B$1:$E$1,B8:E8)</f>
        <v>9.6190817934024189E-2</v>
      </c>
      <c r="H8" s="10">
        <f t="shared" ref="H8:H31" si="2">G8-F8</f>
        <v>-1.8209182065975812E-2</v>
      </c>
      <c r="J8" s="14" t="s">
        <v>16</v>
      </c>
    </row>
    <row r="9" spans="1:13" ht="15">
      <c r="A9" s="11">
        <v>38352</v>
      </c>
      <c r="B9" s="10">
        <v>2.5700000000000101E-2</v>
      </c>
      <c r="C9" s="10">
        <v>-3.9977484080541401E-2</v>
      </c>
      <c r="D9" s="10">
        <v>4.6572366373697001E-2</v>
      </c>
      <c r="E9" s="10">
        <v>4.97716912499091E-2</v>
      </c>
      <c r="F9" s="10">
        <v>4.5499999999999999E-2</v>
      </c>
      <c r="G9" s="10">
        <f t="shared" si="1"/>
        <v>3.5109317558041392E-2</v>
      </c>
      <c r="H9" s="10">
        <f t="shared" si="2"/>
        <v>-1.0390682441958607E-2</v>
      </c>
      <c r="J9" s="10" t="s">
        <v>18</v>
      </c>
      <c r="K9" s="10"/>
      <c r="L9" s="10"/>
      <c r="M9" s="10"/>
    </row>
    <row r="10" spans="1:13" ht="15">
      <c r="A10" s="11">
        <v>38383</v>
      </c>
      <c r="B10" s="10">
        <v>7.6000000000000503E-3</v>
      </c>
      <c r="C10" s="10">
        <v>4.1630020521841199E-2</v>
      </c>
      <c r="D10" s="10">
        <v>-5.6853729329676703E-3</v>
      </c>
      <c r="E10" s="10">
        <v>-2.5478242248420501E-2</v>
      </c>
      <c r="F10" s="10">
        <v>1.01E-2</v>
      </c>
      <c r="G10" s="10">
        <f t="shared" si="1"/>
        <v>-2.4558485115113689E-3</v>
      </c>
      <c r="H10" s="10">
        <f t="shared" si="2"/>
        <v>-1.2555848511511369E-2</v>
      </c>
      <c r="K10" s="10"/>
      <c r="L10" s="10"/>
      <c r="M10" s="10"/>
    </row>
    <row r="11" spans="1:13" ht="15">
      <c r="A11" s="11">
        <v>38411</v>
      </c>
      <c r="B11" s="10">
        <v>4.54000000000001E-2</v>
      </c>
      <c r="C11" s="10">
        <v>0.112557463176658</v>
      </c>
      <c r="D11" s="10">
        <v>5.31968191018082E-2</v>
      </c>
      <c r="E11" s="10">
        <v>4.1298904834437898E-2</v>
      </c>
      <c r="F11" s="10">
        <v>3.3500000000000002E-2</v>
      </c>
      <c r="G11" s="10">
        <f t="shared" si="1"/>
        <v>4.5916133205316609E-2</v>
      </c>
      <c r="H11" s="10">
        <f t="shared" si="2"/>
        <v>1.2416133205316607E-2</v>
      </c>
      <c r="K11" s="10"/>
      <c r="L11" s="10"/>
      <c r="M11" s="10"/>
    </row>
    <row r="12" spans="1:13" ht="15">
      <c r="A12" s="11">
        <v>38442</v>
      </c>
      <c r="B12" s="10">
        <v>-1.83E-2</v>
      </c>
      <c r="C12" s="10">
        <v>8.0531253293980604E-3</v>
      </c>
      <c r="D12" s="10">
        <v>-4.2174301143062002E-3</v>
      </c>
      <c r="E12" s="10">
        <v>-5.44399475782417E-2</v>
      </c>
      <c r="F12" s="10">
        <v>-1.47E-2</v>
      </c>
      <c r="G12" s="10">
        <f t="shared" si="1"/>
        <v>-2.3948385123685197E-2</v>
      </c>
      <c r="H12" s="10">
        <f t="shared" si="2"/>
        <v>-9.2483851236851971E-3</v>
      </c>
      <c r="K12" s="10"/>
      <c r="L12" s="10"/>
      <c r="M12" s="10"/>
    </row>
    <row r="13" spans="1:13" ht="15">
      <c r="A13" s="11">
        <v>38472</v>
      </c>
      <c r="B13" s="10">
        <v>-3.5200000000000002E-2</v>
      </c>
      <c r="C13" s="10">
        <v>-8.6569630047891005E-2</v>
      </c>
      <c r="D13" s="10">
        <v>-5.0544189789325102E-2</v>
      </c>
      <c r="E13" s="10">
        <v>-1.7695999164124499E-2</v>
      </c>
      <c r="F13" s="10">
        <v>-2.1600000000000001E-2</v>
      </c>
      <c r="G13" s="10">
        <f t="shared" si="1"/>
        <v>-3.4055308774553095E-2</v>
      </c>
      <c r="H13" s="10">
        <f t="shared" si="2"/>
        <v>-1.2455308774553094E-2</v>
      </c>
      <c r="K13" s="10"/>
      <c r="L13" s="10"/>
      <c r="M13" s="10"/>
    </row>
    <row r="14" spans="1:13" ht="15">
      <c r="A14" s="11">
        <v>38503</v>
      </c>
      <c r="B14" s="10">
        <v>7.9199999999999895E-2</v>
      </c>
      <c r="C14" s="10">
        <v>0.16539408162097199</v>
      </c>
      <c r="D14" s="10">
        <v>5.4797133216879297E-2</v>
      </c>
      <c r="E14" s="10">
        <v>6.7376318858137801E-2</v>
      </c>
      <c r="F14" s="10">
        <v>7.1199999999999999E-2</v>
      </c>
      <c r="G14" s="10">
        <f t="shared" si="1"/>
        <v>7.193681736389522E-2</v>
      </c>
      <c r="H14" s="10">
        <f t="shared" si="2"/>
        <v>7.3681736389522023E-4</v>
      </c>
      <c r="K14" s="10"/>
      <c r="L14" s="10"/>
      <c r="M14" s="10"/>
    </row>
    <row r="15" spans="1:13" ht="15">
      <c r="A15" s="11">
        <v>38533</v>
      </c>
      <c r="B15" s="10">
        <v>3.1899999999999998E-2</v>
      </c>
      <c r="C15" s="10">
        <v>2.45179415144938E-2</v>
      </c>
      <c r="D15" s="10">
        <v>2.6325933047675699E-2</v>
      </c>
      <c r="E15" s="10">
        <v>1.8208066838685699E-2</v>
      </c>
      <c r="F15" s="10">
        <v>2.1999999999999999E-2</v>
      </c>
      <c r="G15" s="10">
        <f t="shared" si="1"/>
        <v>2.7723643044638188E-2</v>
      </c>
      <c r="H15" s="10">
        <f t="shared" si="2"/>
        <v>5.7236430446381895E-3</v>
      </c>
      <c r="K15" s="10"/>
      <c r="L15" s="10"/>
      <c r="M15" s="10"/>
    </row>
    <row r="16" spans="1:13" ht="15">
      <c r="A16" s="11">
        <v>38564</v>
      </c>
      <c r="B16" s="10">
        <v>7.8700000000000006E-2</v>
      </c>
      <c r="C16" s="10">
        <v>5.0451106913776501E-2</v>
      </c>
      <c r="D16" s="10">
        <v>7.8013893869370604E-2</v>
      </c>
      <c r="E16" s="10">
        <v>9.8204052270607606E-2</v>
      </c>
      <c r="F16" s="10">
        <v>8.9700000000000002E-2</v>
      </c>
      <c r="G16" s="10">
        <f t="shared" si="1"/>
        <v>8.3038940377351919E-2</v>
      </c>
      <c r="H16" s="10">
        <f t="shared" si="2"/>
        <v>-6.6610596226480828E-3</v>
      </c>
      <c r="J16" s="10"/>
      <c r="K16" s="10"/>
      <c r="L16" s="10"/>
      <c r="M16" s="10"/>
    </row>
    <row r="17" spans="1:13" ht="15">
      <c r="A17" s="11">
        <v>38595</v>
      </c>
      <c r="B17" s="10">
        <v>2.1400000000000099E-2</v>
      </c>
      <c r="C17" s="10">
        <v>2.9116200107702501E-2</v>
      </c>
      <c r="D17" s="10">
        <v>5.5305206656635101E-3</v>
      </c>
      <c r="E17" s="10">
        <v>3.4379927342692802E-2</v>
      </c>
      <c r="F17" s="10">
        <v>2.53E-2</v>
      </c>
      <c r="G17" s="10">
        <f t="shared" si="1"/>
        <v>2.1410488445584696E-2</v>
      </c>
      <c r="H17" s="10">
        <f t="shared" si="2"/>
        <v>-3.8895115544153036E-3</v>
      </c>
      <c r="J17" s="10"/>
      <c r="K17" s="10"/>
      <c r="L17" s="10"/>
      <c r="M17" s="10"/>
    </row>
    <row r="18" spans="1:13" ht="15">
      <c r="A18" s="11">
        <v>38625</v>
      </c>
      <c r="B18" s="10">
        <v>8.9199999999999904E-2</v>
      </c>
      <c r="C18" s="10">
        <v>0.161320076983796</v>
      </c>
      <c r="D18" s="10">
        <v>9.9594377994951994E-2</v>
      </c>
      <c r="E18" s="10">
        <v>9.47278818692847E-2</v>
      </c>
      <c r="F18" s="10">
        <v>4.5600000000000002E-2</v>
      </c>
      <c r="G18" s="10">
        <f t="shared" si="1"/>
        <v>9.240633602923419E-2</v>
      </c>
      <c r="H18" s="10">
        <f t="shared" si="2"/>
        <v>4.6806336029234188E-2</v>
      </c>
      <c r="J18" s="10"/>
      <c r="K18" s="10"/>
      <c r="L18" s="10"/>
      <c r="M18" s="10"/>
    </row>
    <row r="19" spans="1:13" ht="15">
      <c r="A19" s="11">
        <v>38656</v>
      </c>
      <c r="B19" s="10">
        <v>-2.84999999999999E-2</v>
      </c>
      <c r="C19" s="10">
        <v>-2.8646708416068398E-2</v>
      </c>
      <c r="D19" s="10">
        <v>-3.6348672701108801E-2</v>
      </c>
      <c r="E19" s="10">
        <v>-4.2318194405434703E-2</v>
      </c>
      <c r="F19" s="10">
        <v>-1.9800000000000002E-2</v>
      </c>
      <c r="G19" s="10">
        <f t="shared" si="1"/>
        <v>-3.3129867908812935E-2</v>
      </c>
      <c r="H19" s="10">
        <f t="shared" si="2"/>
        <v>-1.3329867908812933E-2</v>
      </c>
      <c r="J19" s="10"/>
      <c r="K19" s="10"/>
      <c r="L19" s="10"/>
      <c r="M19" s="10"/>
    </row>
    <row r="20" spans="1:13" ht="15">
      <c r="A20" s="11">
        <v>38686</v>
      </c>
      <c r="B20" s="10">
        <v>2.81E-2</v>
      </c>
      <c r="C20" s="10">
        <v>2.9766725109875901E-2</v>
      </c>
      <c r="D20" s="10">
        <v>3.9657249759106603E-2</v>
      </c>
      <c r="E20" s="10">
        <v>4.9037489540627602E-2</v>
      </c>
      <c r="F20" s="10">
        <v>3.1E-2</v>
      </c>
      <c r="G20" s="10">
        <f t="shared" si="1"/>
        <v>3.505266840817535E-2</v>
      </c>
      <c r="H20" s="10">
        <f t="shared" si="2"/>
        <v>4.05266840817535E-3</v>
      </c>
      <c r="J20" s="10"/>
      <c r="K20" s="10"/>
      <c r="L20" s="10"/>
      <c r="M20" s="10"/>
    </row>
    <row r="21" spans="1:13" ht="15">
      <c r="A21" s="11">
        <v>38717</v>
      </c>
      <c r="B21" s="10">
        <v>8.8100000000000095E-2</v>
      </c>
      <c r="C21" s="10">
        <v>7.1815231914487396E-2</v>
      </c>
      <c r="D21" s="10">
        <v>7.87909879554827E-2</v>
      </c>
      <c r="E21" s="10">
        <v>6.4182037132255204E-2</v>
      </c>
      <c r="F21" s="10">
        <v>6.0199999999999997E-2</v>
      </c>
      <c r="G21" s="10">
        <f t="shared" si="1"/>
        <v>8.0884385009087872E-2</v>
      </c>
      <c r="H21" s="10">
        <f t="shared" si="2"/>
        <v>2.0684385009087876E-2</v>
      </c>
      <c r="J21" s="10"/>
      <c r="K21" s="10"/>
      <c r="L21" s="10"/>
      <c r="M21" s="10"/>
    </row>
    <row r="22" spans="1:13" ht="15">
      <c r="A22" s="11">
        <v>38748</v>
      </c>
      <c r="B22" s="10">
        <v>9.0700000000000003E-2</v>
      </c>
      <c r="C22" s="10">
        <v>0.11896196778766401</v>
      </c>
      <c r="D22" s="10">
        <v>7.5162127830513903E-2</v>
      </c>
      <c r="E22" s="10">
        <v>0.11833780861833899</v>
      </c>
      <c r="F22" s="10">
        <v>8.5300000000000001E-2</v>
      </c>
      <c r="G22" s="10">
        <f t="shared" si="1"/>
        <v>9.4129483420005142E-2</v>
      </c>
      <c r="H22" s="10">
        <f t="shared" si="2"/>
        <v>8.8294834200051409E-3</v>
      </c>
      <c r="J22" s="10"/>
      <c r="K22" s="10"/>
      <c r="L22" s="10"/>
      <c r="M22" s="10"/>
    </row>
    <row r="23" spans="1:13" ht="15">
      <c r="A23" s="11">
        <v>38776</v>
      </c>
      <c r="B23" s="10">
        <v>-2.3099999999999999E-2</v>
      </c>
      <c r="C23" s="10">
        <v>-7.4999522539326804E-2</v>
      </c>
      <c r="D23" s="10">
        <v>-8.0729917142756697E-3</v>
      </c>
      <c r="E23" s="10">
        <v>-2.9924912410827099E-2</v>
      </c>
      <c r="F23" s="10">
        <v>6.4000000000000003E-3</v>
      </c>
      <c r="G23" s="10">
        <f t="shared" si="1"/>
        <v>-2.1858066575120429E-2</v>
      </c>
      <c r="H23" s="10">
        <f t="shared" si="2"/>
        <v>-2.8258066575120429E-2</v>
      </c>
      <c r="J23" s="10"/>
      <c r="K23" s="10"/>
      <c r="L23" s="10"/>
      <c r="M23" s="10"/>
    </row>
    <row r="24" spans="1:13" ht="15">
      <c r="A24" s="11">
        <v>38807</v>
      </c>
      <c r="B24" s="10">
        <v>6.9399999999999906E-2</v>
      </c>
      <c r="C24" s="10">
        <v>9.0027529249827806E-2</v>
      </c>
      <c r="D24" s="10">
        <v>9.1371290228361907E-2</v>
      </c>
      <c r="E24" s="10">
        <v>9.2160977541020803E-2</v>
      </c>
      <c r="F24" s="10">
        <v>5.5E-2</v>
      </c>
      <c r="G24" s="10">
        <f t="shared" si="1"/>
        <v>7.8714257343589389E-2</v>
      </c>
      <c r="H24" s="10">
        <f t="shared" si="2"/>
        <v>2.3714257343589389E-2</v>
      </c>
      <c r="J24" s="10"/>
      <c r="K24" s="10"/>
      <c r="L24" s="10"/>
      <c r="M24" s="10"/>
    </row>
    <row r="25" spans="1:13" ht="15">
      <c r="A25" s="11">
        <v>38837</v>
      </c>
      <c r="B25" s="10">
        <v>2.64E-2</v>
      </c>
      <c r="C25" s="10">
        <v>8.1247119288298406E-2</v>
      </c>
      <c r="D25" s="10">
        <v>2.0243374708266398E-2</v>
      </c>
      <c r="E25" s="10">
        <v>2.5417020244851998E-2</v>
      </c>
      <c r="F25" s="10">
        <v>2.92E-2</v>
      </c>
      <c r="G25" s="10">
        <f t="shared" si="1"/>
        <v>2.5025630684472801E-2</v>
      </c>
      <c r="H25" s="10">
        <f t="shared" si="2"/>
        <v>-4.1743693155271988E-3</v>
      </c>
      <c r="J25" s="10"/>
      <c r="K25" s="10"/>
      <c r="L25" s="10"/>
      <c r="M25" s="10"/>
    </row>
    <row r="26" spans="1:13" ht="15">
      <c r="A26" s="11">
        <v>38868</v>
      </c>
      <c r="B26" s="10">
        <v>-4.4600000000000001E-2</v>
      </c>
      <c r="C26" s="10">
        <v>1.8557772600132E-2</v>
      </c>
      <c r="D26" s="10">
        <v>-4.9928666435159898E-2</v>
      </c>
      <c r="E26" s="10">
        <v>-4.8439520722262097E-2</v>
      </c>
      <c r="F26" s="10">
        <v>-2.1499999999999998E-2</v>
      </c>
      <c r="G26" s="10">
        <f t="shared" si="1"/>
        <v>-4.6474050551807741E-2</v>
      </c>
      <c r="H26" s="10">
        <f t="shared" si="2"/>
        <v>-2.4974050551807743E-2</v>
      </c>
      <c r="J26" s="10"/>
      <c r="K26" s="10"/>
      <c r="L26" s="10"/>
      <c r="M26" s="10"/>
    </row>
    <row r="27" spans="1:13" ht="15">
      <c r="A27" s="11">
        <v>38898</v>
      </c>
      <c r="B27" s="10">
        <v>1.53000000000001E-2</v>
      </c>
      <c r="C27" s="10">
        <v>0.101417785090611</v>
      </c>
      <c r="D27" s="10">
        <v>2.7201721530971001E-2</v>
      </c>
      <c r="E27" s="10">
        <v>5.2584644422307897E-2</v>
      </c>
      <c r="F27" s="10">
        <v>1.6000000000000001E-3</v>
      </c>
      <c r="G27" s="10">
        <f t="shared" si="1"/>
        <v>2.6060959155555105E-2</v>
      </c>
      <c r="H27" s="10">
        <f t="shared" si="2"/>
        <v>2.4460959155555104E-2</v>
      </c>
      <c r="J27" s="10"/>
      <c r="K27" s="10"/>
      <c r="L27" s="10"/>
      <c r="M27" s="10"/>
    </row>
    <row r="28" spans="1:13" ht="15">
      <c r="A28" s="11">
        <v>38929</v>
      </c>
      <c r="B28" s="10">
        <v>-8.6000000000001596E-3</v>
      </c>
      <c r="C28" s="10">
        <v>-4.9089877522551499E-2</v>
      </c>
      <c r="D28" s="10">
        <v>-5.4626357464441196E-3</v>
      </c>
      <c r="E28" s="10">
        <v>-3.2731616777245197E-2</v>
      </c>
      <c r="F28" s="10">
        <v>8.3000000000000001E-3</v>
      </c>
      <c r="G28" s="10">
        <f t="shared" si="1"/>
        <v>-1.3541223129516666E-2</v>
      </c>
      <c r="H28" s="10">
        <f t="shared" si="2"/>
        <v>-2.1841223129516668E-2</v>
      </c>
      <c r="J28" s="10"/>
      <c r="K28" s="10"/>
      <c r="L28" s="10"/>
      <c r="M28" s="10"/>
    </row>
    <row r="29" spans="1:13" ht="15">
      <c r="A29" s="11">
        <v>38960</v>
      </c>
      <c r="B29" s="10">
        <v>5.1199999999999898E-2</v>
      </c>
      <c r="C29" s="10">
        <v>5.6068883220389103E-2</v>
      </c>
      <c r="D29" s="10">
        <v>8.3235319314201001E-2</v>
      </c>
      <c r="E29" s="10">
        <v>8.2116910687090497E-2</v>
      </c>
      <c r="F29" s="10">
        <v>4.7800000000000002E-2</v>
      </c>
      <c r="G29" s="10">
        <f t="shared" si="1"/>
        <v>6.4260830857367904E-2</v>
      </c>
      <c r="H29" s="10">
        <f t="shared" si="2"/>
        <v>1.6460830857367902E-2</v>
      </c>
      <c r="J29" s="10"/>
      <c r="K29" s="10"/>
      <c r="L29" s="10"/>
      <c r="M29" s="10"/>
    </row>
    <row r="30" spans="1:13" ht="15">
      <c r="A30" s="11">
        <v>38990</v>
      </c>
      <c r="B30" s="10">
        <v>2.0899999999999901E-2</v>
      </c>
      <c r="C30" s="10">
        <v>2.4931451466600999E-3</v>
      </c>
      <c r="D30" s="10">
        <v>2.06044864929067E-2</v>
      </c>
      <c r="E30" s="10">
        <v>-6.9403073608809195E-4</v>
      </c>
      <c r="F30" s="10">
        <v>2.2800000000000001E-2</v>
      </c>
      <c r="G30" s="10">
        <f t="shared" si="1"/>
        <v>1.5899156020288047E-2</v>
      </c>
      <c r="H30" s="10">
        <f t="shared" si="2"/>
        <v>-6.9008439797119542E-3</v>
      </c>
      <c r="J30" s="10"/>
      <c r="K30" s="10"/>
      <c r="L30" s="10"/>
      <c r="M30" s="10"/>
    </row>
    <row r="31" spans="1:13" ht="15">
      <c r="A31" s="11">
        <v>39021</v>
      </c>
      <c r="B31" s="10">
        <v>5.4000000000000097E-2</v>
      </c>
      <c r="C31" s="10">
        <v>3.4181272943488002E-2</v>
      </c>
      <c r="D31" s="10">
        <v>5.1962740770042003E-2</v>
      </c>
      <c r="E31" s="10">
        <v>4.2391991385045201E-2</v>
      </c>
      <c r="F31" s="10">
        <v>4.1099999999999998E-2</v>
      </c>
      <c r="G31" s="10">
        <f t="shared" si="1"/>
        <v>5.0961128857116178E-2</v>
      </c>
      <c r="H31" s="10">
        <f t="shared" si="2"/>
        <v>9.8611288571161804E-3</v>
      </c>
      <c r="J31" s="10"/>
      <c r="K31" s="10"/>
      <c r="L31" s="10"/>
      <c r="M31" s="10"/>
    </row>
  </sheetData>
  <pageMargins left="0.7" right="0.7" top="1.1437007874015748" bottom="1.1437007874015748" header="0.75" footer="0.75"/>
  <pageSetup paperSize="0" fitToWidth="0" fitToHeight="0" orientation="portrait" horizontalDpi="0" verticalDpi="0" copies="0"/>
  <headerFooter alignWithMargins="0"/>
  <ignoredErrors>
    <ignoredError sqref="G7 G8:G31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3.9"/>
  <cols>
    <col min="1" max="1024" width="11.5703125" customWidth="1"/>
  </cols>
  <sheetData/>
  <pageMargins left="0.7" right="0.7" top="1.1437007874015748" bottom="1.1437007874015748" header="0.75" footer="0.75"/>
  <pageSetup paperSize="0" fitToWidth="0" fitToHeight="0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9"/>
  <cols>
    <col min="1" max="1024" width="11.5703125" customWidth="1"/>
  </cols>
  <sheetData/>
  <pageMargins left="0.7" right="0.7" top="1.1437007874015748" bottom="1.1437007874015748" header="0.75" footer="0.75"/>
  <pageSetup paperSize="0" fitToWidth="0" fitToHeight="0" orientation="portrait" horizontalDpi="0" verticalDpi="0" copies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20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Calculation</vt:lpstr>
      <vt:lpstr>Sheet2</vt:lpstr>
      <vt:lpstr>Sheet3</vt:lpstr>
      <vt:lpstr>solver_adj</vt:lpstr>
      <vt:lpstr>solver_lhs1</vt:lpstr>
      <vt:lpstr>solver_lhs2</vt:lpstr>
      <vt:lpstr>solver_lhs3</vt:lpstr>
      <vt:lpstr>solver_lhs4</vt:lpstr>
      <vt:lpstr>solver_lhs5</vt:lpstr>
      <vt:lpstr>solver_lhs6</vt:lpstr>
      <vt:lpstr>solver_lhs7</vt:lpstr>
      <vt:lpstr>solver_lhs8</vt:lpstr>
      <vt:lpstr>solver_lhs9</vt:lpstr>
      <vt:lpstr>solver_opt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VirtualStaticVoid</dc:creator>
  <cp:lastModifiedBy>VirtualStaticVoid</cp:lastModifiedBy>
  <cp:revision>7</cp:revision>
  <dcterms:created xsi:type="dcterms:W3CDTF">2011-07-19T19:05:06Z</dcterms:created>
  <dcterms:modified xsi:type="dcterms:W3CDTF">2011-07-20T13:01:39Z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DocSecurity">
    <vt:r8>0</vt:r8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