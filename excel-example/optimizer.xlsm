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24915" windowHeight="11820"/>
  </bookViews>
  <sheets>
    <sheet name="Calculation Data" sheetId="1" r:id="rId1"/>
    <sheet name="Sheet2" sheetId="2" r:id="rId2"/>
    <sheet name="Sheet3" sheetId="3" r:id="rId3"/>
  </sheets>
  <definedNames>
    <definedName name="solver_adj" localSheetId="0" hidden="1">'Calculation Data'!$B$1:$E$1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'Calculation Data'!$F$1</definedName>
    <definedName name="solver_lhs2" localSheetId="0" hidden="1">'Calculation Data'!$B$1</definedName>
    <definedName name="solver_lhs3" localSheetId="0" hidden="1">'Calculation Data'!$B$1</definedName>
    <definedName name="solver_lhs4" localSheetId="0" hidden="1">'Calculation Data'!$C$1</definedName>
    <definedName name="solver_lhs5" localSheetId="0" hidden="1">'Calculation Data'!$C$1</definedName>
    <definedName name="solver_lhs6" localSheetId="0" hidden="1">'Calculation Data'!$D$1</definedName>
    <definedName name="solver_lhs7" localSheetId="0" hidden="1">'Calculation Data'!$D$1</definedName>
    <definedName name="solver_lhs8" localSheetId="0" hidden="1">'Calculation Data'!$E$1</definedName>
    <definedName name="solver_lhs9" localSheetId="0" hidden="1">'Calculation Data'!$E$1</definedName>
    <definedName name="solver_lin" localSheetId="0" hidden="1">2</definedName>
    <definedName name="solver_neg" localSheetId="0" hidden="1">2</definedName>
    <definedName name="solver_num" localSheetId="0" hidden="1">9</definedName>
    <definedName name="solver_nwt" localSheetId="0" hidden="1">1</definedName>
    <definedName name="solver_opt" localSheetId="0" hidden="1">'Calculation Data'!$H$1</definedName>
    <definedName name="solver_pre" localSheetId="0" hidden="1">0.000001</definedName>
    <definedName name="solver_rel1" localSheetId="0" hidden="1">2</definedName>
    <definedName name="solver_rel2" localSheetId="0" hidden="1">1</definedName>
    <definedName name="solver_rel3" localSheetId="0" hidden="1">3</definedName>
    <definedName name="solver_rel4" localSheetId="0" hidden="1">1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1</definedName>
    <definedName name="solver_rhs2" localSheetId="0" hidden="1">1</definedName>
    <definedName name="solver_rhs3" localSheetId="0" hidden="1">0</definedName>
    <definedName name="solver_rhs4" localSheetId="0" hidden="1">1</definedName>
    <definedName name="solver_rhs5" localSheetId="0" hidden="1">0</definedName>
    <definedName name="solver_rhs6" localSheetId="0" hidden="1">1</definedName>
    <definedName name="solver_rhs7" localSheetId="0" hidden="1">0</definedName>
    <definedName name="solver_rhs8" localSheetId="0" hidden="1">1</definedName>
    <definedName name="solver_rhs9" localSheetId="0" hidden="1">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25725"/>
</workbook>
</file>

<file path=xl/calcChain.xml><?xml version="1.0" encoding="utf-8"?>
<calcChain xmlns="http://schemas.openxmlformats.org/spreadsheetml/2006/main">
  <c r="F1" i="1"/>
  <c r="G78"/>
  <c r="H78" s="1"/>
  <c r="G77"/>
  <c r="H77" s="1"/>
  <c r="G76"/>
  <c r="H76" s="1"/>
  <c r="G75"/>
  <c r="H75" s="1"/>
  <c r="G74"/>
  <c r="H74" s="1"/>
  <c r="G73"/>
  <c r="H73" s="1"/>
  <c r="G72"/>
  <c r="H72" s="1"/>
  <c r="G71"/>
  <c r="H71" s="1"/>
  <c r="G70"/>
  <c r="H70" s="1"/>
  <c r="G69"/>
  <c r="H69" s="1"/>
  <c r="G68"/>
  <c r="H68" s="1"/>
  <c r="G67"/>
  <c r="H67" s="1"/>
  <c r="G66"/>
  <c r="H66" s="1"/>
  <c r="G65"/>
  <c r="H65" s="1"/>
  <c r="G64"/>
  <c r="H64" s="1"/>
  <c r="G63"/>
  <c r="H63" s="1"/>
  <c r="G62"/>
  <c r="H62" s="1"/>
  <c r="G61"/>
  <c r="H61" s="1"/>
  <c r="G60"/>
  <c r="H60" s="1"/>
  <c r="G59"/>
  <c r="H59" s="1"/>
  <c r="G58"/>
  <c r="H58" s="1"/>
  <c r="G57"/>
  <c r="H57" s="1"/>
  <c r="G56"/>
  <c r="H56" s="1"/>
  <c r="G55"/>
  <c r="H55" s="1"/>
  <c r="G54"/>
  <c r="H54" s="1"/>
  <c r="G53"/>
  <c r="H53" s="1"/>
  <c r="G52"/>
  <c r="H52" s="1"/>
  <c r="G51"/>
  <c r="H51" s="1"/>
  <c r="G50"/>
  <c r="H50" s="1"/>
  <c r="G49"/>
  <c r="H49" s="1"/>
  <c r="G48"/>
  <c r="H48" s="1"/>
  <c r="G47"/>
  <c r="H47" s="1"/>
  <c r="G46"/>
  <c r="H46" s="1"/>
  <c r="G45"/>
  <c r="H45" s="1"/>
  <c r="G44"/>
  <c r="H44" s="1"/>
  <c r="G43"/>
  <c r="H43" s="1"/>
  <c r="G42"/>
  <c r="H42" s="1"/>
  <c r="G41"/>
  <c r="H41" s="1"/>
  <c r="G40"/>
  <c r="H40" s="1"/>
  <c r="G39"/>
  <c r="H39" s="1"/>
  <c r="G38"/>
  <c r="H38" s="1"/>
  <c r="G37"/>
  <c r="H37" s="1"/>
  <c r="G36"/>
  <c r="H36" s="1"/>
  <c r="G35"/>
  <c r="H35" s="1"/>
  <c r="G34"/>
  <c r="H34" s="1"/>
  <c r="G33"/>
  <c r="H33" s="1"/>
  <c r="G32"/>
  <c r="H32" s="1"/>
  <c r="G31"/>
  <c r="H31" s="1"/>
  <c r="G30"/>
  <c r="H30" s="1"/>
  <c r="G29"/>
  <c r="H29" s="1"/>
  <c r="G28"/>
  <c r="H28" s="1"/>
  <c r="G27"/>
  <c r="H27" s="1"/>
  <c r="G26"/>
  <c r="H26" s="1"/>
  <c r="G25"/>
  <c r="H25" s="1"/>
  <c r="G24"/>
  <c r="H24" s="1"/>
  <c r="G23"/>
  <c r="H23" s="1"/>
  <c r="G22"/>
  <c r="H22" s="1"/>
  <c r="G21"/>
  <c r="H21" s="1"/>
  <c r="G20"/>
  <c r="H20" s="1"/>
  <c r="G19"/>
  <c r="H19" s="1"/>
  <c r="G18"/>
  <c r="H18" s="1"/>
  <c r="G17"/>
  <c r="H17" s="1"/>
  <c r="G16"/>
  <c r="H16" s="1"/>
  <c r="G15"/>
  <c r="H15" s="1"/>
  <c r="G14"/>
  <c r="H14" s="1"/>
  <c r="G13"/>
  <c r="H13" s="1"/>
  <c r="G12"/>
  <c r="H12" s="1"/>
  <c r="G11"/>
  <c r="H11" s="1"/>
  <c r="G10"/>
  <c r="H10" s="1"/>
  <c r="G9"/>
  <c r="H9" s="1"/>
  <c r="G8"/>
  <c r="H8" s="1"/>
  <c r="G7"/>
  <c r="H7" s="1"/>
  <c r="G6"/>
  <c r="H6" s="1"/>
  <c r="H1" l="1"/>
</calcChain>
</file>

<file path=xl/sharedStrings.xml><?xml version="1.0" encoding="utf-8"?>
<sst xmlns="http://schemas.openxmlformats.org/spreadsheetml/2006/main" count="18" uniqueCount="18">
  <si>
    <t>Date</t>
  </si>
  <si>
    <t>Factor 1</t>
  </si>
  <si>
    <t>Factor 2</t>
  </si>
  <si>
    <t>Factor 3</t>
  </si>
  <si>
    <t>Factor 4</t>
  </si>
  <si>
    <t>Return</t>
  </si>
  <si>
    <t>Simulated</t>
  </si>
  <si>
    <t>Residual</t>
  </si>
  <si>
    <t>Upper Limit</t>
  </si>
  <si>
    <t>Lower Limit</t>
  </si>
  <si>
    <t>StdDev</t>
  </si>
  <si>
    <t>Weights</t>
  </si>
  <si>
    <t>Weight1</t>
  </si>
  <si>
    <t>Weight2</t>
  </si>
  <si>
    <t>Weight3</t>
  </si>
  <si>
    <t>Weight4</t>
  </si>
  <si>
    <t>Results</t>
  </si>
  <si>
    <r>
      <t xml:space="preserve">Run the </t>
    </r>
    <r>
      <rPr>
        <b/>
        <sz val="11"/>
        <color theme="1"/>
        <rFont val="Calibri"/>
        <family val="2"/>
        <scheme val="minor"/>
      </rPr>
      <t>CalculateWeights</t>
    </r>
    <r>
      <rPr>
        <sz val="11"/>
        <color theme="1"/>
        <rFont val="Calibri"/>
        <family val="2"/>
        <scheme val="minor"/>
      </rPr>
      <t xml:space="preserve"> macro for results</t>
    </r>
  </si>
</sst>
</file>

<file path=xl/styles.xml><?xml version="1.0" encoding="utf-8"?>
<styleSheet xmlns="http://schemas.openxmlformats.org/spreadsheetml/2006/main">
  <numFmts count="1">
    <numFmt numFmtId="167" formatCode="0.000000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167" fontId="0" fillId="0" borderId="0" xfId="0" applyNumberFormat="1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78"/>
  <sheetViews>
    <sheetView tabSelected="1" workbookViewId="0"/>
  </sheetViews>
  <sheetFormatPr defaultRowHeight="15"/>
  <cols>
    <col min="1" max="1" width="11.28515625" style="1" bestFit="1" customWidth="1"/>
    <col min="2" max="8" width="12.7109375" customWidth="1"/>
    <col min="10" max="13" width="12.7109375" customWidth="1"/>
  </cols>
  <sheetData>
    <row r="1" spans="1:13">
      <c r="A1" s="3" t="s">
        <v>11</v>
      </c>
      <c r="B1">
        <v>0.25</v>
      </c>
      <c r="C1">
        <v>0.25</v>
      </c>
      <c r="D1">
        <v>0.25</v>
      </c>
      <c r="E1">
        <v>0.25</v>
      </c>
      <c r="F1" s="7">
        <f>SUM(B1:E1)</f>
        <v>1</v>
      </c>
      <c r="G1" s="9" t="s">
        <v>10</v>
      </c>
      <c r="H1" s="2">
        <f>STDEV($H$53:$H$77)</f>
        <v>1.8910348236346585E-2</v>
      </c>
    </row>
    <row r="2" spans="1:13">
      <c r="A2" s="3" t="s">
        <v>8</v>
      </c>
      <c r="B2">
        <v>1</v>
      </c>
      <c r="C2">
        <v>1</v>
      </c>
      <c r="D2">
        <v>1</v>
      </c>
      <c r="E2">
        <v>1</v>
      </c>
      <c r="J2" s="6" t="s">
        <v>17</v>
      </c>
      <c r="K2" s="8"/>
      <c r="L2" s="8"/>
      <c r="M2" s="8"/>
    </row>
    <row r="3" spans="1:13">
      <c r="A3" s="3" t="s">
        <v>9</v>
      </c>
      <c r="B3">
        <v>0</v>
      </c>
      <c r="C3">
        <v>0</v>
      </c>
      <c r="D3">
        <v>0</v>
      </c>
      <c r="E3">
        <v>0</v>
      </c>
    </row>
    <row r="4" spans="1:13">
      <c r="J4" s="6" t="s">
        <v>16</v>
      </c>
      <c r="K4" s="6"/>
      <c r="L4" s="6"/>
      <c r="M4" s="6"/>
    </row>
    <row r="5" spans="1:13">
      <c r="A5" s="4" t="s">
        <v>0</v>
      </c>
      <c r="B5" s="5" t="s">
        <v>1</v>
      </c>
      <c r="C5" s="5" t="s">
        <v>2</v>
      </c>
      <c r="D5" s="5" t="s">
        <v>3</v>
      </c>
      <c r="E5" s="5" t="s">
        <v>4</v>
      </c>
      <c r="F5" s="5" t="s">
        <v>5</v>
      </c>
      <c r="G5" s="5" t="s">
        <v>6</v>
      </c>
      <c r="H5" s="5" t="s">
        <v>7</v>
      </c>
      <c r="J5" s="5" t="s">
        <v>12</v>
      </c>
      <c r="K5" s="5" t="s">
        <v>13</v>
      </c>
      <c r="L5" s="5" t="s">
        <v>14</v>
      </c>
      <c r="M5" s="5" t="s">
        <v>15</v>
      </c>
    </row>
    <row r="6" spans="1:13">
      <c r="A6" s="1">
        <v>38291</v>
      </c>
      <c r="B6" s="2">
        <v>2.0399999999999974E-2</v>
      </c>
      <c r="C6" s="2">
        <v>-8.6729032959860675E-2</v>
      </c>
      <c r="D6" s="2">
        <v>6.2084206044973334E-2</v>
      </c>
      <c r="E6" s="2">
        <v>8.5371438235828156E-2</v>
      </c>
      <c r="F6" s="2">
        <v>7.9500000000000001E-2</v>
      </c>
      <c r="G6" s="2">
        <f>SUMPRODUCT($B$1:$E$1,B6:E6)</f>
        <v>2.0281652830235197E-2</v>
      </c>
      <c r="H6" s="2">
        <f>G6-F6</f>
        <v>-5.9218347169764804E-2</v>
      </c>
      <c r="J6" s="2">
        <v>0.58430319099169559</v>
      </c>
      <c r="K6" s="2">
        <v>0</v>
      </c>
      <c r="L6" s="2">
        <v>0.18666678286387342</v>
      </c>
      <c r="M6" s="2">
        <v>0.22903002614443099</v>
      </c>
    </row>
    <row r="7" spans="1:13">
      <c r="A7" s="1">
        <v>38321</v>
      </c>
      <c r="B7" s="2">
        <v>8.5299999999999931E-2</v>
      </c>
      <c r="C7" s="2">
        <v>1.5674690615434139E-2</v>
      </c>
      <c r="D7" s="2">
        <v>8.5198830519728874E-2</v>
      </c>
      <c r="E7" s="2">
        <v>0.13293437833496347</v>
      </c>
      <c r="F7" s="2">
        <v>0.1144</v>
      </c>
      <c r="G7" s="2">
        <f t="shared" ref="G7:G70" si="0">SUMPRODUCT($B$1:$E$1,B7:E7)</f>
        <v>7.9776974867531603E-2</v>
      </c>
      <c r="H7" s="2">
        <f t="shared" ref="H7:H70" si="1">G7-F7</f>
        <v>-3.4623025132468399E-2</v>
      </c>
      <c r="J7" s="2">
        <v>0.91668856724293024</v>
      </c>
      <c r="K7" s="2">
        <v>0</v>
      </c>
      <c r="L7" s="2">
        <v>0</v>
      </c>
      <c r="M7" s="2">
        <v>8.3311432757069592E-2</v>
      </c>
    </row>
    <row r="8" spans="1:13">
      <c r="A8" s="1">
        <v>38352</v>
      </c>
      <c r="B8" s="2">
        <v>2.5700000000000056E-2</v>
      </c>
      <c r="C8" s="2">
        <v>-3.9977484080541359E-2</v>
      </c>
      <c r="D8" s="2">
        <v>4.6572366373696994E-2</v>
      </c>
      <c r="E8" s="2">
        <v>4.97716912499091E-2</v>
      </c>
      <c r="F8" s="2">
        <v>4.5499999999999999E-2</v>
      </c>
      <c r="G8" s="2">
        <f t="shared" si="0"/>
        <v>2.0516643385766198E-2</v>
      </c>
      <c r="H8" s="2">
        <f t="shared" si="1"/>
        <v>-2.4983356614233801E-2</v>
      </c>
      <c r="J8" s="2">
        <v>1</v>
      </c>
      <c r="K8" s="2">
        <v>0</v>
      </c>
      <c r="L8" s="2">
        <v>0</v>
      </c>
      <c r="M8" s="2">
        <v>0</v>
      </c>
    </row>
    <row r="9" spans="1:13">
      <c r="A9" s="1">
        <v>38383</v>
      </c>
      <c r="B9" s="2">
        <v>7.6000000000000512E-3</v>
      </c>
      <c r="C9" s="2">
        <v>4.1630020521841171E-2</v>
      </c>
      <c r="D9" s="2">
        <v>-5.6853729329676694E-3</v>
      </c>
      <c r="E9" s="2">
        <v>-2.5478242248420546E-2</v>
      </c>
      <c r="F9" s="2">
        <v>1.01E-2</v>
      </c>
      <c r="G9" s="2">
        <f t="shared" si="0"/>
        <v>4.5166013351132517E-3</v>
      </c>
      <c r="H9" s="2">
        <f t="shared" si="1"/>
        <v>-5.5833986648867479E-3</v>
      </c>
      <c r="J9" s="2">
        <v>1</v>
      </c>
      <c r="K9" s="2">
        <v>0</v>
      </c>
      <c r="L9" s="2">
        <v>0</v>
      </c>
      <c r="M9" s="2">
        <v>0</v>
      </c>
    </row>
    <row r="10" spans="1:13">
      <c r="A10" s="1">
        <v>38411</v>
      </c>
      <c r="B10" s="2">
        <v>4.5400000000000107E-2</v>
      </c>
      <c r="C10" s="2">
        <v>0.11255746317665816</v>
      </c>
      <c r="D10" s="2">
        <v>5.3196819101808179E-2</v>
      </c>
      <c r="E10" s="2">
        <v>4.1298904834437877E-2</v>
      </c>
      <c r="F10" s="2">
        <v>3.3500000000000002E-2</v>
      </c>
      <c r="G10" s="2">
        <f t="shared" si="0"/>
        <v>6.311329677822608E-2</v>
      </c>
      <c r="H10" s="2">
        <f t="shared" si="1"/>
        <v>2.9613296778226078E-2</v>
      </c>
      <c r="J10" s="2">
        <v>0.99235579798894957</v>
      </c>
      <c r="K10" s="2">
        <v>0</v>
      </c>
      <c r="L10" s="2">
        <v>7.6442020110503725E-3</v>
      </c>
      <c r="M10" s="2">
        <v>0</v>
      </c>
    </row>
    <row r="11" spans="1:13">
      <c r="A11" s="1">
        <v>38442</v>
      </c>
      <c r="B11" s="2">
        <v>-1.8299999999999983E-2</v>
      </c>
      <c r="C11" s="2">
        <v>8.0531253293980587E-3</v>
      </c>
      <c r="D11" s="2">
        <v>-4.2174301143061976E-3</v>
      </c>
      <c r="E11" s="2">
        <v>-5.4439947578241665E-2</v>
      </c>
      <c r="F11" s="2">
        <v>-1.47E-2</v>
      </c>
      <c r="G11" s="2">
        <f t="shared" si="0"/>
        <v>-1.7226063090787447E-2</v>
      </c>
      <c r="H11" s="2">
        <f t="shared" si="1"/>
        <v>-2.5260630907874473E-3</v>
      </c>
      <c r="J11" s="2">
        <v>0.99572729736487542</v>
      </c>
      <c r="K11" s="2">
        <v>0</v>
      </c>
      <c r="L11" s="2">
        <v>4.272702635124602E-3</v>
      </c>
      <c r="M11" s="2">
        <v>0</v>
      </c>
    </row>
    <row r="12" spans="1:13">
      <c r="A12" s="1">
        <v>38472</v>
      </c>
      <c r="B12" s="2">
        <v>-3.5200000000000009E-2</v>
      </c>
      <c r="C12" s="2">
        <v>-8.6569630047890977E-2</v>
      </c>
      <c r="D12" s="2">
        <v>-5.0544189789325067E-2</v>
      </c>
      <c r="E12" s="2">
        <v>-1.7695999164124454E-2</v>
      </c>
      <c r="F12" s="2">
        <v>-2.1600000000000001E-2</v>
      </c>
      <c r="G12" s="2">
        <f t="shared" si="0"/>
        <v>-4.7502454750335127E-2</v>
      </c>
      <c r="H12" s="2">
        <f t="shared" si="1"/>
        <v>-2.5902454750335126E-2</v>
      </c>
      <c r="J12" s="2">
        <v>0.99999999999999989</v>
      </c>
      <c r="K12" s="2">
        <v>0</v>
      </c>
      <c r="L12" s="2">
        <v>0</v>
      </c>
      <c r="M12" s="2">
        <v>0</v>
      </c>
    </row>
    <row r="13" spans="1:13">
      <c r="A13" s="1">
        <v>38503</v>
      </c>
      <c r="B13" s="2">
        <v>7.9199999999999937E-2</v>
      </c>
      <c r="C13" s="2">
        <v>0.16539408162097202</v>
      </c>
      <c r="D13" s="2">
        <v>5.479713321687929E-2</v>
      </c>
      <c r="E13" s="2">
        <v>6.7376318858137774E-2</v>
      </c>
      <c r="F13" s="2">
        <v>7.1199999999999999E-2</v>
      </c>
      <c r="G13" s="2">
        <f t="shared" si="0"/>
        <v>9.1691883423997256E-2</v>
      </c>
      <c r="H13" s="2">
        <f t="shared" si="1"/>
        <v>2.0491883423997256E-2</v>
      </c>
      <c r="J13" s="2">
        <v>0.97031034632245994</v>
      </c>
      <c r="K13" s="2">
        <v>0</v>
      </c>
      <c r="L13" s="2">
        <v>0</v>
      </c>
      <c r="M13" s="2">
        <v>2.9689653677540045E-2</v>
      </c>
    </row>
    <row r="14" spans="1:13">
      <c r="A14" s="1">
        <v>38533</v>
      </c>
      <c r="B14" s="2">
        <v>3.1900000000000039E-2</v>
      </c>
      <c r="C14" s="2">
        <v>2.4517941514493824E-2</v>
      </c>
      <c r="D14" s="2">
        <v>2.632593304767572E-2</v>
      </c>
      <c r="E14" s="2">
        <v>1.8208066838685699E-2</v>
      </c>
      <c r="F14" s="2">
        <v>2.2000000000000002E-2</v>
      </c>
      <c r="G14" s="2">
        <f t="shared" si="0"/>
        <v>2.5237985350213821E-2</v>
      </c>
      <c r="H14" s="2">
        <f t="shared" si="1"/>
        <v>3.2379853502138185E-3</v>
      </c>
      <c r="J14" s="2">
        <v>0.99111843140879841</v>
      </c>
      <c r="K14" s="2">
        <v>0</v>
      </c>
      <c r="L14" s="2">
        <v>0</v>
      </c>
      <c r="M14" s="2">
        <v>8.8815685912016148E-3</v>
      </c>
    </row>
    <row r="15" spans="1:13">
      <c r="A15" s="1">
        <v>38564</v>
      </c>
      <c r="B15" s="2">
        <v>7.8699999999999992E-2</v>
      </c>
      <c r="C15" s="2">
        <v>5.0451106913776522E-2</v>
      </c>
      <c r="D15" s="2">
        <v>7.8013893869370632E-2</v>
      </c>
      <c r="E15" s="2">
        <v>9.8204052270607578E-2</v>
      </c>
      <c r="F15" s="2">
        <v>8.9700000000000002E-2</v>
      </c>
      <c r="G15" s="2">
        <f t="shared" si="0"/>
        <v>7.6342263263438681E-2</v>
      </c>
      <c r="H15" s="2">
        <f t="shared" si="1"/>
        <v>-1.3357736736561321E-2</v>
      </c>
      <c r="J15" s="2">
        <v>1</v>
      </c>
      <c r="K15" s="2">
        <v>0</v>
      </c>
      <c r="L15" s="2">
        <v>0</v>
      </c>
      <c r="M15" s="2">
        <v>0</v>
      </c>
    </row>
    <row r="16" spans="1:13">
      <c r="A16" s="1">
        <v>38595</v>
      </c>
      <c r="B16" s="2">
        <v>2.1400000000000086E-2</v>
      </c>
      <c r="C16" s="2">
        <v>2.911620010770255E-2</v>
      </c>
      <c r="D16" s="2">
        <v>5.5305206656635075E-3</v>
      </c>
      <c r="E16" s="2">
        <v>3.4379927342692795E-2</v>
      </c>
      <c r="F16" s="2">
        <v>2.53E-2</v>
      </c>
      <c r="G16" s="2">
        <f t="shared" si="0"/>
        <v>2.2606662029014735E-2</v>
      </c>
      <c r="H16" s="2">
        <f t="shared" si="1"/>
        <v>-2.6933379709852649E-3</v>
      </c>
      <c r="J16" s="2">
        <v>0.99999999999999989</v>
      </c>
      <c r="K16" s="2">
        <v>0</v>
      </c>
      <c r="L16" s="2">
        <v>0</v>
      </c>
      <c r="M16" s="2">
        <v>0</v>
      </c>
    </row>
    <row r="17" spans="1:13">
      <c r="A17" s="1">
        <v>38625</v>
      </c>
      <c r="B17" s="2">
        <v>8.9199999999999946E-2</v>
      </c>
      <c r="C17" s="2">
        <v>0.16132007698379613</v>
      </c>
      <c r="D17" s="2">
        <v>9.9594377994951966E-2</v>
      </c>
      <c r="E17" s="2">
        <v>9.4727881869284714E-2</v>
      </c>
      <c r="F17" s="2">
        <v>4.5599999999999995E-2</v>
      </c>
      <c r="G17" s="2">
        <f t="shared" si="0"/>
        <v>0.11121058421200819</v>
      </c>
      <c r="H17" s="2">
        <f t="shared" si="1"/>
        <v>6.5610584212008188E-2</v>
      </c>
      <c r="J17" s="2">
        <v>1.0000000000000002</v>
      </c>
      <c r="K17" s="2">
        <v>0</v>
      </c>
      <c r="L17" s="2">
        <v>0</v>
      </c>
      <c r="M17" s="2">
        <v>0</v>
      </c>
    </row>
    <row r="18" spans="1:13">
      <c r="A18" s="1">
        <v>38656</v>
      </c>
      <c r="B18" s="2">
        <v>-2.8499999999999859E-2</v>
      </c>
      <c r="C18" s="2">
        <v>-2.8646708416068423E-2</v>
      </c>
      <c r="D18" s="2">
        <v>-3.6348672701108753E-2</v>
      </c>
      <c r="E18" s="2">
        <v>-4.2318194405434717E-2</v>
      </c>
      <c r="F18" s="2">
        <v>-1.9799999999999998E-2</v>
      </c>
      <c r="G18" s="2">
        <f t="shared" si="0"/>
        <v>-3.3953393880652938E-2</v>
      </c>
      <c r="H18" s="2">
        <f t="shared" si="1"/>
        <v>-1.415339388065294E-2</v>
      </c>
      <c r="J18" s="2">
        <v>0.83857892630431818</v>
      </c>
      <c r="K18" s="2">
        <v>5.6481054468403354E-2</v>
      </c>
      <c r="L18" s="2">
        <v>0.10494001922727868</v>
      </c>
      <c r="M18" s="2">
        <v>0</v>
      </c>
    </row>
    <row r="19" spans="1:13">
      <c r="A19" s="1">
        <v>38686</v>
      </c>
      <c r="B19" s="2">
        <v>2.8100000000000014E-2</v>
      </c>
      <c r="C19" s="2">
        <v>2.976672510987588E-2</v>
      </c>
      <c r="D19" s="2">
        <v>3.9657249759106561E-2</v>
      </c>
      <c r="E19" s="2">
        <v>4.9037489540627588E-2</v>
      </c>
      <c r="F19" s="2">
        <v>3.1E-2</v>
      </c>
      <c r="G19" s="2">
        <f t="shared" si="0"/>
        <v>3.6640366102402511E-2</v>
      </c>
      <c r="H19" s="2">
        <f t="shared" si="1"/>
        <v>5.6403661024025109E-3</v>
      </c>
      <c r="J19" s="2">
        <v>0.83000046787410742</v>
      </c>
      <c r="K19" s="2">
        <v>5.9134314167766495E-2</v>
      </c>
      <c r="L19" s="2">
        <v>0.11086521795812593</v>
      </c>
      <c r="M19" s="2">
        <v>0</v>
      </c>
    </row>
    <row r="20" spans="1:13">
      <c r="A20" s="1">
        <v>38717</v>
      </c>
      <c r="B20" s="2">
        <v>8.8100000000000067E-2</v>
      </c>
      <c r="C20" s="2">
        <v>7.1815231914487354E-2</v>
      </c>
      <c r="D20" s="2">
        <v>7.8790987955482672E-2</v>
      </c>
      <c r="E20" s="2">
        <v>6.4182037132255232E-2</v>
      </c>
      <c r="F20" s="2">
        <v>6.0199999999999997E-2</v>
      </c>
      <c r="G20" s="2">
        <f t="shared" si="0"/>
        <v>7.5722064250556331E-2</v>
      </c>
      <c r="H20" s="2">
        <f t="shared" si="1"/>
        <v>1.5522064250556335E-2</v>
      </c>
      <c r="J20" s="2">
        <v>0.8217162002352153</v>
      </c>
      <c r="K20" s="2">
        <v>5.609924839356082E-2</v>
      </c>
      <c r="L20" s="2">
        <v>0.1221845513712238</v>
      </c>
      <c r="M20" s="2">
        <v>0</v>
      </c>
    </row>
    <row r="21" spans="1:13">
      <c r="A21" s="1">
        <v>38748</v>
      </c>
      <c r="B21" s="2">
        <v>9.0700000000000003E-2</v>
      </c>
      <c r="C21" s="2">
        <v>0.11896196778766366</v>
      </c>
      <c r="D21" s="2">
        <v>7.5162127830513903E-2</v>
      </c>
      <c r="E21" s="2">
        <v>0.11833780861833931</v>
      </c>
      <c r="F21" s="2">
        <v>8.5299999999999987E-2</v>
      </c>
      <c r="G21" s="2">
        <f t="shared" si="0"/>
        <v>0.10079047605912922</v>
      </c>
      <c r="H21" s="2">
        <f t="shared" si="1"/>
        <v>1.5490476059129232E-2</v>
      </c>
      <c r="J21" s="2">
        <v>0.88776011421603951</v>
      </c>
      <c r="K21" s="2">
        <v>2.5337710147210459E-2</v>
      </c>
      <c r="L21" s="2">
        <v>8.6902175636749998E-2</v>
      </c>
      <c r="M21" s="2">
        <v>0</v>
      </c>
    </row>
    <row r="22" spans="1:13">
      <c r="A22" s="1">
        <v>38776</v>
      </c>
      <c r="B22" s="2">
        <v>-2.3100000000000009E-2</v>
      </c>
      <c r="C22" s="2">
        <v>-7.4999522539326846E-2</v>
      </c>
      <c r="D22" s="2">
        <v>-8.072991714275668E-3</v>
      </c>
      <c r="E22" s="2">
        <v>-2.9924912410827065E-2</v>
      </c>
      <c r="F22" s="2">
        <v>6.4000000000000003E-3</v>
      </c>
      <c r="G22" s="2">
        <f t="shared" si="0"/>
        <v>-3.4024356666107397E-2</v>
      </c>
      <c r="H22" s="2">
        <f t="shared" si="1"/>
        <v>-4.04243566661074E-2</v>
      </c>
      <c r="J22" s="2">
        <v>0.88028263606079682</v>
      </c>
      <c r="K22" s="2">
        <v>1.126736100753257E-2</v>
      </c>
      <c r="L22" s="2">
        <v>0.10845000293167061</v>
      </c>
      <c r="M22" s="2">
        <v>0</v>
      </c>
    </row>
    <row r="23" spans="1:13">
      <c r="A23" s="1">
        <v>38807</v>
      </c>
      <c r="B23" s="2">
        <v>6.9399999999999906E-2</v>
      </c>
      <c r="C23" s="2">
        <v>9.002752924982782E-2</v>
      </c>
      <c r="D23" s="2">
        <v>9.1371290228361879E-2</v>
      </c>
      <c r="E23" s="2">
        <v>9.2160977541020817E-2</v>
      </c>
      <c r="F23" s="2">
        <v>5.5E-2</v>
      </c>
      <c r="G23" s="2">
        <f t="shared" si="0"/>
        <v>8.5739949254802605E-2</v>
      </c>
      <c r="H23" s="2">
        <f t="shared" si="1"/>
        <v>3.0739949254802605E-2</v>
      </c>
      <c r="J23" s="2">
        <v>0.77199267843758412</v>
      </c>
      <c r="K23" s="2">
        <v>5.7568844098777147E-2</v>
      </c>
      <c r="L23" s="2">
        <v>0.17043847746363872</v>
      </c>
      <c r="M23" s="2">
        <v>0</v>
      </c>
    </row>
    <row r="24" spans="1:13">
      <c r="A24" s="1">
        <v>38837</v>
      </c>
      <c r="B24" s="2">
        <v>2.6399999999999979E-2</v>
      </c>
      <c r="C24" s="2">
        <v>8.1247119288298419E-2</v>
      </c>
      <c r="D24" s="2">
        <v>2.0243374708266426E-2</v>
      </c>
      <c r="E24" s="2">
        <v>2.541702024485204E-2</v>
      </c>
      <c r="F24" s="2">
        <v>2.92E-2</v>
      </c>
      <c r="G24" s="2">
        <f t="shared" si="0"/>
        <v>3.8326878560354216E-2</v>
      </c>
      <c r="H24" s="2">
        <f t="shared" si="1"/>
        <v>9.1268785603542159E-3</v>
      </c>
      <c r="J24" s="2">
        <v>0.77258633427055623</v>
      </c>
      <c r="K24" s="2">
        <v>5.8699099404100868E-2</v>
      </c>
      <c r="L24" s="2">
        <v>0.16871456632534307</v>
      </c>
      <c r="M24" s="2">
        <v>0</v>
      </c>
    </row>
    <row r="25" spans="1:13">
      <c r="A25" s="1">
        <v>38868</v>
      </c>
      <c r="B25" s="2">
        <v>-4.4599999999999973E-2</v>
      </c>
      <c r="C25" s="2">
        <v>1.8557772600132028E-2</v>
      </c>
      <c r="D25" s="2">
        <v>-4.9928666435159919E-2</v>
      </c>
      <c r="E25" s="2">
        <v>-4.8439520722262097E-2</v>
      </c>
      <c r="F25" s="2">
        <v>-2.1499999999999998E-2</v>
      </c>
      <c r="G25" s="2">
        <f t="shared" si="0"/>
        <v>-3.110260363932249E-2</v>
      </c>
      <c r="H25" s="2">
        <f t="shared" si="1"/>
        <v>-9.602603639322492E-3</v>
      </c>
      <c r="J25" s="2">
        <v>0.83445079823902468</v>
      </c>
      <c r="K25" s="2">
        <v>4.8744390275493155E-2</v>
      </c>
      <c r="L25" s="2">
        <v>0.11680481148548234</v>
      </c>
      <c r="M25" s="2">
        <v>0</v>
      </c>
    </row>
    <row r="26" spans="1:13">
      <c r="A26" s="1">
        <v>38898</v>
      </c>
      <c r="B26" s="2">
        <v>1.5300000000000091E-2</v>
      </c>
      <c r="C26" s="2">
        <v>0.10141778509061106</v>
      </c>
      <c r="D26" s="2">
        <v>2.7201721530971001E-2</v>
      </c>
      <c r="E26" s="2">
        <v>5.2584644422307925E-2</v>
      </c>
      <c r="F26" s="2">
        <v>1.6000000000000001E-3</v>
      </c>
      <c r="G26" s="2">
        <f t="shared" si="0"/>
        <v>4.9126037760972519E-2</v>
      </c>
      <c r="H26" s="2">
        <f t="shared" si="1"/>
        <v>4.7526037760972521E-2</v>
      </c>
      <c r="J26" s="2">
        <v>0.82999841845118272</v>
      </c>
      <c r="K26" s="2">
        <v>5.6518502582321321E-2</v>
      </c>
      <c r="L26" s="2">
        <v>0.11348307896649602</v>
      </c>
      <c r="M26" s="2">
        <v>0</v>
      </c>
    </row>
    <row r="27" spans="1:13">
      <c r="A27" s="1">
        <v>38929</v>
      </c>
      <c r="B27" s="2">
        <v>-8.6000000000001631E-3</v>
      </c>
      <c r="C27" s="2">
        <v>-4.9089877522551451E-2</v>
      </c>
      <c r="D27" s="2">
        <v>-5.4626357464441222E-3</v>
      </c>
      <c r="E27" s="2">
        <v>-3.2731616777245232E-2</v>
      </c>
      <c r="F27" s="2">
        <v>8.3000000000000001E-3</v>
      </c>
      <c r="G27" s="2">
        <f t="shared" si="0"/>
        <v>-2.3971032511560242E-2</v>
      </c>
      <c r="H27" s="2">
        <f t="shared" si="1"/>
        <v>-3.2271032511560244E-2</v>
      </c>
      <c r="J27" s="2">
        <v>0.67959980956775312</v>
      </c>
      <c r="K27" s="2">
        <v>0.14049284087914349</v>
      </c>
      <c r="L27" s="2">
        <v>0.17990734955310334</v>
      </c>
      <c r="M27" s="2">
        <v>0</v>
      </c>
    </row>
    <row r="28" spans="1:13">
      <c r="A28" s="1">
        <v>38960</v>
      </c>
      <c r="B28" s="2">
        <v>5.1199999999999912E-2</v>
      </c>
      <c r="C28" s="2">
        <v>5.6068883220389054E-2</v>
      </c>
      <c r="D28" s="2">
        <v>8.3235319314201028E-2</v>
      </c>
      <c r="E28" s="2">
        <v>8.2116910687090483E-2</v>
      </c>
      <c r="F28" s="2">
        <v>4.7800000000000002E-2</v>
      </c>
      <c r="G28" s="2">
        <f t="shared" si="0"/>
        <v>6.8155278305420119E-2</v>
      </c>
      <c r="H28" s="2">
        <f t="shared" si="1"/>
        <v>2.0355278305420117E-2</v>
      </c>
      <c r="J28" s="2">
        <v>0.57695721246445641</v>
      </c>
      <c r="K28" s="2">
        <v>0.1716504607019925</v>
      </c>
      <c r="L28" s="2">
        <v>0.23315854168239561</v>
      </c>
      <c r="M28" s="2">
        <v>1.8233785151155486E-2</v>
      </c>
    </row>
    <row r="29" spans="1:13">
      <c r="A29" s="1">
        <v>38990</v>
      </c>
      <c r="B29" s="2">
        <v>2.0899999999999919E-2</v>
      </c>
      <c r="C29" s="2">
        <v>2.4931451466601029E-3</v>
      </c>
      <c r="D29" s="2">
        <v>2.0604486492906693E-2</v>
      </c>
      <c r="E29" s="2">
        <v>-6.9403073608809152E-4</v>
      </c>
      <c r="F29" s="2">
        <v>2.2799999999999997E-2</v>
      </c>
      <c r="G29" s="2">
        <f t="shared" si="0"/>
        <v>1.0825900225869656E-2</v>
      </c>
      <c r="H29" s="2">
        <f t="shared" si="1"/>
        <v>-1.1974099774130342E-2</v>
      </c>
      <c r="J29" s="2">
        <v>0.39680334377687299</v>
      </c>
      <c r="K29" s="2">
        <v>0.23450555028623146</v>
      </c>
      <c r="L29" s="2">
        <v>0.3239686712922627</v>
      </c>
      <c r="M29" s="2">
        <v>4.4722434644632769E-2</v>
      </c>
    </row>
    <row r="30" spans="1:13">
      <c r="A30" s="1">
        <v>39021</v>
      </c>
      <c r="B30" s="2">
        <v>5.4000000000000048E-2</v>
      </c>
      <c r="C30" s="2">
        <v>3.418127294348805E-2</v>
      </c>
      <c r="D30" s="2">
        <v>5.1962740770042037E-2</v>
      </c>
      <c r="E30" s="2">
        <v>4.2391991385045236E-2</v>
      </c>
      <c r="F30" s="2">
        <v>4.1100000000000005E-2</v>
      </c>
      <c r="G30" s="2">
        <f t="shared" si="0"/>
        <v>4.5634001274643843E-2</v>
      </c>
      <c r="H30" s="2">
        <f t="shared" si="1"/>
        <v>4.5340012746438382E-3</v>
      </c>
      <c r="J30" s="2">
        <v>0.33006081723499442</v>
      </c>
      <c r="K30" s="2">
        <v>0.27254873785868944</v>
      </c>
      <c r="L30" s="2">
        <v>0.39739044490631625</v>
      </c>
      <c r="M30" s="2">
        <v>0</v>
      </c>
    </row>
    <row r="31" spans="1:13">
      <c r="A31" s="1">
        <v>39051</v>
      </c>
      <c r="B31" s="2">
        <v>3.6999999999999922E-2</v>
      </c>
      <c r="C31" s="2">
        <v>1.0413906539813222E-2</v>
      </c>
      <c r="D31" s="2">
        <v>9.1672902745727258E-2</v>
      </c>
      <c r="E31" s="2">
        <v>6.0678625872587988E-2</v>
      </c>
      <c r="F31" s="2">
        <v>3.78E-2</v>
      </c>
      <c r="G31" s="2">
        <f t="shared" si="0"/>
        <v>4.9941358789532098E-2</v>
      </c>
      <c r="H31" s="2">
        <f t="shared" si="1"/>
        <v>1.2141358789532097E-2</v>
      </c>
      <c r="J31" s="2">
        <v>0.20876827739241224</v>
      </c>
      <c r="K31" s="2">
        <v>0.26133749103448156</v>
      </c>
      <c r="L31" s="2">
        <v>0.45429816461479777</v>
      </c>
      <c r="M31" s="2">
        <v>7.5596066958308381E-2</v>
      </c>
    </row>
    <row r="32" spans="1:13">
      <c r="A32" s="1">
        <v>39082</v>
      </c>
      <c r="B32" s="2">
        <v>5.5700000000000083E-2</v>
      </c>
      <c r="C32" s="2">
        <v>-9.8958951826766395E-5</v>
      </c>
      <c r="D32" s="2">
        <v>6.9795858777906172E-2</v>
      </c>
      <c r="E32" s="2">
        <v>4.1882824837073507E-2</v>
      </c>
      <c r="F32" s="2">
        <v>5.2300000000000006E-2</v>
      </c>
      <c r="G32" s="2">
        <f t="shared" si="0"/>
        <v>4.1819931165788249E-2</v>
      </c>
      <c r="H32" s="2">
        <f t="shared" si="1"/>
        <v>-1.0480068834211757E-2</v>
      </c>
      <c r="J32" s="2">
        <v>0.15221127873737073</v>
      </c>
      <c r="K32" s="2">
        <v>0.28198342483721334</v>
      </c>
      <c r="L32" s="2">
        <v>0.49282750025173921</v>
      </c>
      <c r="M32" s="2">
        <v>7.2977796173676904E-2</v>
      </c>
    </row>
    <row r="33" spans="1:13">
      <c r="A33" s="1">
        <v>39113</v>
      </c>
      <c r="B33" s="2">
        <v>3.1600000000000072E-2</v>
      </c>
      <c r="C33" s="2">
        <v>6.4428653431245486E-3</v>
      </c>
      <c r="D33" s="2">
        <v>5.5147064165691262E-2</v>
      </c>
      <c r="E33" s="2">
        <v>5.2739873749801047E-2</v>
      </c>
      <c r="F33" s="2">
        <v>4.36E-2</v>
      </c>
      <c r="G33" s="2">
        <f t="shared" si="0"/>
        <v>3.6482450814654233E-2</v>
      </c>
      <c r="H33" s="2">
        <f t="shared" si="1"/>
        <v>-7.1175491853457673E-3</v>
      </c>
      <c r="J33" s="2">
        <v>0.10256823406056706</v>
      </c>
      <c r="K33" s="2">
        <v>0.29510507165469763</v>
      </c>
      <c r="L33" s="2">
        <v>0.51432962934582505</v>
      </c>
      <c r="M33" s="2">
        <v>8.799706493891038E-2</v>
      </c>
    </row>
    <row r="34" spans="1:13">
      <c r="A34" s="1">
        <v>39141</v>
      </c>
      <c r="B34" s="2">
        <v>1.3400000000000079E-2</v>
      </c>
      <c r="C34" s="2">
        <v>2.9480888556734586E-2</v>
      </c>
      <c r="D34" s="2">
        <v>-1.6929822316654741E-3</v>
      </c>
      <c r="E34" s="2">
        <v>3.9013895947948019E-3</v>
      </c>
      <c r="F34" s="2">
        <v>7.7000000000000002E-3</v>
      </c>
      <c r="G34" s="2">
        <f t="shared" si="0"/>
        <v>1.1272323979965998E-2</v>
      </c>
      <c r="H34" s="2">
        <f t="shared" si="1"/>
        <v>3.5723239799659978E-3</v>
      </c>
      <c r="J34" s="2">
        <v>0.13212371419986516</v>
      </c>
      <c r="K34" s="2">
        <v>0.28780912447104878</v>
      </c>
      <c r="L34" s="2">
        <v>0.4943097235849247</v>
      </c>
      <c r="M34" s="2">
        <v>8.5757437744161585E-2</v>
      </c>
    </row>
    <row r="35" spans="1:13">
      <c r="A35" s="1">
        <v>39172</v>
      </c>
      <c r="B35" s="2">
        <v>5.8999999999999941E-2</v>
      </c>
      <c r="C35" s="2">
        <v>0.11117001461443676</v>
      </c>
      <c r="D35" s="2">
        <v>2.4579671503546452E-2</v>
      </c>
      <c r="E35" s="2">
        <v>6.5606451854336445E-2</v>
      </c>
      <c r="F35" s="2">
        <v>0.06</v>
      </c>
      <c r="G35" s="2">
        <f t="shared" si="0"/>
        <v>6.50890344930799E-2</v>
      </c>
      <c r="H35" s="2">
        <f t="shared" si="1"/>
        <v>5.0890344930799025E-3</v>
      </c>
      <c r="J35" s="2">
        <v>9.0279912505202425E-2</v>
      </c>
      <c r="K35" s="2">
        <v>0.2529944120458521</v>
      </c>
      <c r="L35" s="2">
        <v>0.49266712544191649</v>
      </c>
      <c r="M35" s="2">
        <v>0.16405855000702907</v>
      </c>
    </row>
    <row r="36" spans="1:13">
      <c r="A36" s="1">
        <v>39202</v>
      </c>
      <c r="B36" s="2">
        <v>4.6599999999999975E-2</v>
      </c>
      <c r="C36" s="2">
        <v>-5.927129403977438E-3</v>
      </c>
      <c r="D36" s="2">
        <v>7.6571479858773994E-2</v>
      </c>
      <c r="E36" s="2">
        <v>4.272782881492021E-2</v>
      </c>
      <c r="F36" s="2">
        <v>4.1700000000000001E-2</v>
      </c>
      <c r="G36" s="2">
        <f t="shared" si="0"/>
        <v>3.9993044817429185E-2</v>
      </c>
      <c r="H36" s="2">
        <f t="shared" si="1"/>
        <v>-1.7069551825708157E-3</v>
      </c>
      <c r="J36" s="2">
        <v>9.1571954878497161E-2</v>
      </c>
      <c r="K36" s="2">
        <v>0.24907127334982451</v>
      </c>
      <c r="L36" s="2">
        <v>0.4966444413600194</v>
      </c>
      <c r="M36" s="2">
        <v>0.16271233041165889</v>
      </c>
    </row>
    <row r="37" spans="1:13">
      <c r="A37" s="1">
        <v>39233</v>
      </c>
      <c r="B37" s="2">
        <v>-1.9000000000000128E-3</v>
      </c>
      <c r="C37" s="2">
        <v>6.6183846419923809E-2</v>
      </c>
      <c r="D37" s="2">
        <v>-1.411865611306129E-2</v>
      </c>
      <c r="E37" s="2">
        <v>2.663356499971492E-2</v>
      </c>
      <c r="F37" s="2">
        <v>1.9699999999999999E-2</v>
      </c>
      <c r="G37" s="2">
        <f t="shared" si="0"/>
        <v>1.9199688826644357E-2</v>
      </c>
      <c r="H37" s="2">
        <f t="shared" si="1"/>
        <v>-5.0031117335564215E-4</v>
      </c>
      <c r="J37" s="2">
        <v>0.1188340929934852</v>
      </c>
      <c r="K37" s="2">
        <v>0.22603409222694637</v>
      </c>
      <c r="L37" s="2">
        <v>0.48935606332173909</v>
      </c>
      <c r="M37" s="2">
        <v>0.16577575145782938</v>
      </c>
    </row>
    <row r="38" spans="1:13">
      <c r="A38" s="1">
        <v>39263</v>
      </c>
      <c r="B38" s="2">
        <v>-1.7700000000000049E-2</v>
      </c>
      <c r="C38" s="2">
        <v>8.1026169262774506E-3</v>
      </c>
      <c r="D38" s="2">
        <v>-1.9678189989053463E-2</v>
      </c>
      <c r="E38" s="2">
        <v>-1.7190519330472553E-2</v>
      </c>
      <c r="F38" s="2">
        <v>-1.6000000000000001E-3</v>
      </c>
      <c r="G38" s="2">
        <f t="shared" si="0"/>
        <v>-1.1616523098312154E-2</v>
      </c>
      <c r="H38" s="2">
        <f t="shared" si="1"/>
        <v>-1.0016523098312153E-2</v>
      </c>
      <c r="J38" s="2">
        <v>0.15596920329497882</v>
      </c>
      <c r="K38" s="2">
        <v>0.20486818043383812</v>
      </c>
      <c r="L38" s="2">
        <v>0.47166991924934892</v>
      </c>
      <c r="M38" s="2">
        <v>0.16749269702183411</v>
      </c>
    </row>
    <row r="39" spans="1:13">
      <c r="A39" s="1">
        <v>39294</v>
      </c>
      <c r="B39" s="2">
        <v>4.5999999999999375E-3</v>
      </c>
      <c r="C39" s="2">
        <v>1.2321741054367674E-2</v>
      </c>
      <c r="D39" s="2">
        <v>-1.2154498073598807E-2</v>
      </c>
      <c r="E39" s="2">
        <v>-2.3690149267519001E-4</v>
      </c>
      <c r="F39" s="2">
        <v>-6.4000000000000003E-3</v>
      </c>
      <c r="G39" s="2">
        <f t="shared" si="0"/>
        <v>1.1325853720234036E-3</v>
      </c>
      <c r="H39" s="2">
        <f t="shared" si="1"/>
        <v>7.5325853720234039E-3</v>
      </c>
      <c r="J39" s="2">
        <v>0.17714981025152796</v>
      </c>
      <c r="K39" s="2">
        <v>0.19438509214725044</v>
      </c>
      <c r="L39" s="2">
        <v>0.45958219701135145</v>
      </c>
      <c r="M39" s="2">
        <v>0.16888290058987013</v>
      </c>
    </row>
    <row r="40" spans="1:13">
      <c r="A40" s="1">
        <v>39325</v>
      </c>
      <c r="B40" s="2">
        <v>8.0999999999999961E-3</v>
      </c>
      <c r="C40" s="2">
        <v>-5.4401386063072099E-3</v>
      </c>
      <c r="D40" s="2">
        <v>2.1637525332807162E-3</v>
      </c>
      <c r="E40" s="2">
        <v>1.5092133562994992E-3</v>
      </c>
      <c r="F40" s="2">
        <v>-2.3999999999999998E-3</v>
      </c>
      <c r="G40" s="2">
        <f t="shared" si="0"/>
        <v>1.5832068208182504E-3</v>
      </c>
      <c r="H40" s="2">
        <f t="shared" si="1"/>
        <v>3.9832068208182497E-3</v>
      </c>
      <c r="J40" s="2">
        <v>0.18896905664579411</v>
      </c>
      <c r="K40" s="2">
        <v>0.191320573939123</v>
      </c>
      <c r="L40" s="2">
        <v>0.45144143950677545</v>
      </c>
      <c r="M40" s="2">
        <v>0.16826892990830739</v>
      </c>
    </row>
    <row r="41" spans="1:13">
      <c r="A41" s="1">
        <v>39355</v>
      </c>
      <c r="B41" s="2">
        <v>3.0100000000000016E-2</v>
      </c>
      <c r="C41" s="2">
        <v>0.12719005589761823</v>
      </c>
      <c r="D41" s="2">
        <v>-1.1414157259028279E-2</v>
      </c>
      <c r="E41" s="2">
        <v>7.8946932414826865E-2</v>
      </c>
      <c r="F41" s="2">
        <v>2.87E-2</v>
      </c>
      <c r="G41" s="2">
        <f t="shared" si="0"/>
        <v>5.6205707763354207E-2</v>
      </c>
      <c r="H41" s="2">
        <f t="shared" si="1"/>
        <v>2.7505707763354207E-2</v>
      </c>
      <c r="J41" s="2">
        <v>0.18573565449999963</v>
      </c>
      <c r="K41" s="2">
        <v>0.18872734623067131</v>
      </c>
      <c r="L41" s="2">
        <v>0.45142613117943675</v>
      </c>
      <c r="M41" s="2">
        <v>0.17411086808989235</v>
      </c>
    </row>
    <row r="42" spans="1:13">
      <c r="A42" s="1">
        <v>39386</v>
      </c>
      <c r="B42" s="2">
        <v>6.8100000000000049E-2</v>
      </c>
      <c r="C42" s="2">
        <v>1.3455648820326793E-2</v>
      </c>
      <c r="D42" s="2">
        <v>5.9292103418624009E-2</v>
      </c>
      <c r="E42" s="2">
        <v>9.9433464429716345E-2</v>
      </c>
      <c r="F42" s="2">
        <v>4.58E-2</v>
      </c>
      <c r="G42" s="2">
        <f t="shared" si="0"/>
        <v>6.0070304167166799E-2</v>
      </c>
      <c r="H42" s="2">
        <f t="shared" si="1"/>
        <v>1.4270304167166799E-2</v>
      </c>
      <c r="J42" s="2">
        <v>0.17223107841522892</v>
      </c>
      <c r="K42" s="2">
        <v>0.19507439714606653</v>
      </c>
      <c r="L42" s="2">
        <v>0.45256676861742973</v>
      </c>
      <c r="M42" s="2">
        <v>0.18012775582127483</v>
      </c>
    </row>
    <row r="43" spans="1:13">
      <c r="A43" s="1">
        <v>39416</v>
      </c>
      <c r="B43" s="2">
        <v>-3.3100000000000018E-2</v>
      </c>
      <c r="C43" s="2">
        <v>-2.7260517369223636E-2</v>
      </c>
      <c r="D43" s="2">
        <v>-3.8653162790286744E-2</v>
      </c>
      <c r="E43" s="2">
        <v>-5.6142285000175263E-2</v>
      </c>
      <c r="F43" s="2">
        <v>-2.53E-2</v>
      </c>
      <c r="G43" s="2">
        <f t="shared" si="0"/>
        <v>-3.8788991289921415E-2</v>
      </c>
      <c r="H43" s="2">
        <f t="shared" si="1"/>
        <v>-1.3488991289921416E-2</v>
      </c>
      <c r="J43" s="2">
        <v>0.37668835401801659</v>
      </c>
      <c r="K43" s="2">
        <v>0.10452413642283635</v>
      </c>
      <c r="L43" s="2">
        <v>0.33374435033283961</v>
      </c>
      <c r="M43" s="2">
        <v>0.18504315922630743</v>
      </c>
    </row>
    <row r="44" spans="1:13">
      <c r="A44" s="1">
        <v>39447</v>
      </c>
      <c r="B44" s="2">
        <v>-3.5399999999999987E-2</v>
      </c>
      <c r="C44" s="2">
        <v>-6.1837951343693631E-2</v>
      </c>
      <c r="D44" s="2">
        <v>-1.392868794071378E-2</v>
      </c>
      <c r="E44" s="2">
        <v>1.9047138926170604E-2</v>
      </c>
      <c r="F44" s="2">
        <v>-2.5899999999999999E-2</v>
      </c>
      <c r="G44" s="2">
        <f t="shared" si="0"/>
        <v>-2.3029875089559199E-2</v>
      </c>
      <c r="H44" s="2">
        <f t="shared" si="1"/>
        <v>2.8701249104408008E-3</v>
      </c>
      <c r="J44" s="2">
        <v>0.34271200403015473</v>
      </c>
      <c r="K44" s="2">
        <v>0.11119190996335102</v>
      </c>
      <c r="L44" s="2">
        <v>0.35162606190586299</v>
      </c>
      <c r="M44" s="2">
        <v>0.1944700241006313</v>
      </c>
    </row>
    <row r="45" spans="1:13">
      <c r="A45" s="1">
        <v>39478</v>
      </c>
      <c r="B45" s="2">
        <v>-7.0100000000000051E-2</v>
      </c>
      <c r="C45" s="2">
        <v>3.2075457235278826E-2</v>
      </c>
      <c r="D45" s="2">
        <v>-0.12376738039661073</v>
      </c>
      <c r="E45" s="2">
        <v>-0.10608464615425617</v>
      </c>
      <c r="F45" s="2">
        <v>-7.6499999999999999E-2</v>
      </c>
      <c r="G45" s="2">
        <f t="shared" si="0"/>
        <v>-6.696914232889703E-2</v>
      </c>
      <c r="H45" s="2">
        <f t="shared" si="1"/>
        <v>9.5308576711029686E-3</v>
      </c>
      <c r="J45" s="2">
        <v>0.36324617556225453</v>
      </c>
      <c r="K45" s="2">
        <v>9.863797322181582E-2</v>
      </c>
      <c r="L45" s="2">
        <v>0.33838944119834491</v>
      </c>
      <c r="M45" s="2">
        <v>0.19972641001758482</v>
      </c>
    </row>
    <row r="46" spans="1:13">
      <c r="A46" s="1">
        <v>39507</v>
      </c>
      <c r="B46" s="2">
        <v>0.10939999999999994</v>
      </c>
      <c r="C46" s="2">
        <v>0.17782275284549831</v>
      </c>
      <c r="D46" s="2">
        <v>8.1196231269224928E-2</v>
      </c>
      <c r="E46" s="2">
        <v>0.18718664435900423</v>
      </c>
      <c r="F46" s="2">
        <v>8.5800000000000001E-2</v>
      </c>
      <c r="G46" s="2">
        <f t="shared" si="0"/>
        <v>0.13890140711843185</v>
      </c>
      <c r="H46" s="2">
        <f t="shared" si="1"/>
        <v>5.3101407118431851E-2</v>
      </c>
      <c r="J46" s="2">
        <v>0.33883284265424207</v>
      </c>
      <c r="K46" s="2">
        <v>8.1170283198058205E-2</v>
      </c>
      <c r="L46" s="2">
        <v>0.35400075113882618</v>
      </c>
      <c r="M46" s="2">
        <v>0.22599612300887353</v>
      </c>
    </row>
    <row r="47" spans="1:13">
      <c r="A47" s="1">
        <v>39538</v>
      </c>
      <c r="B47" s="2">
        <v>-3.4100000000000019E-2</v>
      </c>
      <c r="C47" s="2">
        <v>-3.2972853674685498E-2</v>
      </c>
      <c r="D47" s="2">
        <v>-1.5778964986485344E-2</v>
      </c>
      <c r="E47" s="2">
        <v>4.7522068667156248E-3</v>
      </c>
      <c r="F47" s="2">
        <v>-4.7999999999999996E-3</v>
      </c>
      <c r="G47" s="2">
        <f t="shared" si="0"/>
        <v>-1.9524902948613809E-2</v>
      </c>
      <c r="H47" s="2">
        <f t="shared" si="1"/>
        <v>-1.4724902948613811E-2</v>
      </c>
      <c r="J47" s="2">
        <v>0.23144407999581168</v>
      </c>
      <c r="K47" s="2">
        <v>0.10578608918904621</v>
      </c>
      <c r="L47" s="2">
        <v>0.37845509768331753</v>
      </c>
      <c r="M47" s="2">
        <v>0.28431473313182454</v>
      </c>
    </row>
    <row r="48" spans="1:13">
      <c r="A48" s="1">
        <v>39568</v>
      </c>
      <c r="B48" s="2">
        <v>3.9199999999999902E-2</v>
      </c>
      <c r="C48" s="2">
        <v>4.8641722527974052E-2</v>
      </c>
      <c r="D48" s="2">
        <v>-5.7446492277334338E-3</v>
      </c>
      <c r="E48" s="2">
        <v>5.8383604357181929E-2</v>
      </c>
      <c r="F48" s="2">
        <v>4.410118785427606E-2</v>
      </c>
      <c r="G48" s="2">
        <f t="shared" si="0"/>
        <v>3.5120169414355612E-2</v>
      </c>
      <c r="H48" s="2">
        <f t="shared" si="1"/>
        <v>-8.9810184399204476E-3</v>
      </c>
      <c r="J48" s="2">
        <v>0.27818726866108429</v>
      </c>
      <c r="K48" s="2">
        <v>9.8764667970479628E-2</v>
      </c>
      <c r="L48" s="2">
        <v>0.35656205408989711</v>
      </c>
      <c r="M48" s="2">
        <v>0.26648600927853894</v>
      </c>
    </row>
    <row r="49" spans="1:13">
      <c r="A49" s="1">
        <v>39599</v>
      </c>
      <c r="B49" s="2">
        <v>2.8100000000000014E-2</v>
      </c>
      <c r="C49" s="2">
        <v>6.7431311036560526E-2</v>
      </c>
      <c r="D49" s="2">
        <v>-2.3539929715382879E-2</v>
      </c>
      <c r="E49" s="2">
        <v>8.0867560227866564E-2</v>
      </c>
      <c r="F49" s="2">
        <v>3.8600000000000002E-2</v>
      </c>
      <c r="G49" s="2">
        <f t="shared" si="0"/>
        <v>3.8214735387261056E-2</v>
      </c>
      <c r="H49" s="2">
        <f t="shared" si="1"/>
        <v>-3.8526461273894613E-4</v>
      </c>
      <c r="J49" s="2">
        <v>0.114996888090139</v>
      </c>
      <c r="K49" s="2">
        <v>0.14677794105213332</v>
      </c>
      <c r="L49" s="2">
        <v>0.46583863703812178</v>
      </c>
      <c r="M49" s="2">
        <v>0.27238653381960592</v>
      </c>
    </row>
    <row r="50" spans="1:13">
      <c r="A50" s="1">
        <v>39629</v>
      </c>
      <c r="B50" s="2">
        <v>-6.5599999999999992E-2</v>
      </c>
      <c r="C50" s="2">
        <v>1.3037437485254211E-2</v>
      </c>
      <c r="D50" s="2">
        <v>-8.041729076780324E-2</v>
      </c>
      <c r="E50" s="2">
        <v>-6.5570572106921521E-2</v>
      </c>
      <c r="F50" s="2">
        <v>-3.9600000000000003E-2</v>
      </c>
      <c r="G50" s="2">
        <f t="shared" si="0"/>
        <v>-4.9637606347367635E-2</v>
      </c>
      <c r="H50" s="2">
        <f t="shared" si="1"/>
        <v>-1.0037606347367632E-2</v>
      </c>
      <c r="J50" s="2">
        <v>5.6804813690062551E-2</v>
      </c>
      <c r="K50" s="2">
        <v>0.16716855771987887</v>
      </c>
      <c r="L50" s="2">
        <v>0.52512818337330203</v>
      </c>
      <c r="M50" s="2">
        <v>0.25089844521675658</v>
      </c>
    </row>
    <row r="51" spans="1:13">
      <c r="A51" s="1">
        <v>39660</v>
      </c>
      <c r="B51" s="2">
        <v>-5.0499999999999989E-2</v>
      </c>
      <c r="C51" s="2">
        <v>-0.19105507554737711</v>
      </c>
      <c r="D51" s="2">
        <v>5.1773070009452082E-2</v>
      </c>
      <c r="E51" s="2">
        <v>-0.13423547818082093</v>
      </c>
      <c r="F51" s="2">
        <v>-5.9200000000000003E-2</v>
      </c>
      <c r="G51" s="2">
        <f t="shared" si="0"/>
        <v>-8.1004370929686487E-2</v>
      </c>
      <c r="H51" s="2">
        <f t="shared" si="1"/>
        <v>-2.1804370929686484E-2</v>
      </c>
      <c r="J51" s="2">
        <v>0.22166513816157549</v>
      </c>
      <c r="K51" s="2">
        <v>8.4138420484059548E-2</v>
      </c>
      <c r="L51" s="2">
        <v>0.43852941491797887</v>
      </c>
      <c r="M51" s="2">
        <v>0.255667026436386</v>
      </c>
    </row>
    <row r="52" spans="1:13">
      <c r="A52" s="1">
        <v>39691</v>
      </c>
      <c r="B52" s="2">
        <v>1.2599999999999945E-2</v>
      </c>
      <c r="C52" s="2">
        <v>-2.3796237386572439E-2</v>
      </c>
      <c r="D52" s="2">
        <v>5.3420807841476847E-2</v>
      </c>
      <c r="E52" s="2">
        <v>1.6657345261918977E-2</v>
      </c>
      <c r="F52" s="2">
        <v>2.4400000000000002E-2</v>
      </c>
      <c r="G52" s="2">
        <f t="shared" si="0"/>
        <v>1.4720478929205832E-2</v>
      </c>
      <c r="H52" s="2">
        <f t="shared" si="1"/>
        <v>-9.6795210707941691E-3</v>
      </c>
      <c r="J52" s="2">
        <v>0.18400501007965045</v>
      </c>
      <c r="K52" s="2">
        <v>7.1832662176612744E-2</v>
      </c>
      <c r="L52" s="2">
        <v>0.52588664590641954</v>
      </c>
      <c r="M52" s="2">
        <v>0.21827568183731719</v>
      </c>
    </row>
    <row r="53" spans="1:13">
      <c r="A53" s="1">
        <v>39721</v>
      </c>
      <c r="B53" s="2">
        <v>-0.10489999999999999</v>
      </c>
      <c r="C53" s="2">
        <v>-0.21892067052124142</v>
      </c>
      <c r="D53" s="2">
        <v>-7.5648192644919732E-2</v>
      </c>
      <c r="E53" s="2">
        <v>-0.14075159358954381</v>
      </c>
      <c r="F53" s="2">
        <v>-0.13719999999999999</v>
      </c>
      <c r="G53" s="2">
        <f t="shared" si="0"/>
        <v>-0.13505511418892624</v>
      </c>
      <c r="H53" s="2">
        <f t="shared" si="1"/>
        <v>2.144885811073749E-3</v>
      </c>
      <c r="J53" s="2">
        <v>0.16050815716890726</v>
      </c>
      <c r="K53" s="2">
        <v>7.7266681777972329E-2</v>
      </c>
      <c r="L53" s="2">
        <v>0.54440709666859088</v>
      </c>
      <c r="M53" s="2">
        <v>0.21781806438452969</v>
      </c>
    </row>
    <row r="54" spans="1:13">
      <c r="A54" s="1">
        <v>39752</v>
      </c>
      <c r="B54" s="2">
        <v>-0.11919999999999986</v>
      </c>
      <c r="C54" s="2">
        <v>-0.16990560540729516</v>
      </c>
      <c r="D54" s="2">
        <v>-5.3882102757787709E-2</v>
      </c>
      <c r="E54" s="2">
        <v>-0.20405452487022191</v>
      </c>
      <c r="F54" s="2">
        <v>-8.7300000000000003E-2</v>
      </c>
      <c r="G54" s="2">
        <f t="shared" si="0"/>
        <v>-0.13676055825882616</v>
      </c>
      <c r="H54" s="2">
        <f t="shared" si="1"/>
        <v>-4.9460558258826157E-2</v>
      </c>
      <c r="J54" s="2"/>
      <c r="K54" s="2"/>
      <c r="L54" s="2"/>
      <c r="M54" s="2"/>
    </row>
    <row r="55" spans="1:13">
      <c r="A55" s="1">
        <v>39782</v>
      </c>
      <c r="B55" s="2">
        <v>8.69999999999993E-3</v>
      </c>
      <c r="C55" s="2">
        <v>5.1202857207035324E-2</v>
      </c>
      <c r="D55" s="2">
        <v>-2.6192293766431951E-2</v>
      </c>
      <c r="E55" s="2">
        <v>-4.4311802342144824E-2</v>
      </c>
      <c r="F55" s="2">
        <v>-3.0800000000000001E-2</v>
      </c>
      <c r="G55" s="2">
        <f t="shared" si="0"/>
        <v>-2.6503097253853802E-3</v>
      </c>
      <c r="H55" s="2">
        <f t="shared" si="1"/>
        <v>2.8149690274614621E-2</v>
      </c>
      <c r="J55" s="2"/>
      <c r="K55" s="2"/>
      <c r="L55" s="2"/>
      <c r="M55" s="2"/>
    </row>
    <row r="56" spans="1:13">
      <c r="A56" s="1">
        <v>39813</v>
      </c>
      <c r="B56" s="2">
        <v>2.9800000000000049E-2</v>
      </c>
      <c r="C56" s="2">
        <v>-2.1848990886460529E-3</v>
      </c>
      <c r="D56" s="2">
        <v>6.6502134905355614E-2</v>
      </c>
      <c r="E56" s="2">
        <v>6.9794582574891351E-2</v>
      </c>
      <c r="F56" s="2">
        <v>2.46E-2</v>
      </c>
      <c r="G56" s="2">
        <f t="shared" si="0"/>
        <v>4.097795459790024E-2</v>
      </c>
      <c r="H56" s="2">
        <f t="shared" si="1"/>
        <v>1.637795459790024E-2</v>
      </c>
      <c r="J56" s="2"/>
      <c r="K56" s="2"/>
      <c r="L56" s="2"/>
      <c r="M56" s="2"/>
    </row>
    <row r="57" spans="1:13">
      <c r="A57" s="1">
        <v>39844</v>
      </c>
      <c r="B57" s="2">
        <v>-4.720000000000002E-2</v>
      </c>
      <c r="C57" s="2">
        <v>-2.6297614904837063E-2</v>
      </c>
      <c r="D57" s="2">
        <v>-4.7237413374519477E-2</v>
      </c>
      <c r="E57" s="2">
        <v>1.9306445099295466E-2</v>
      </c>
      <c r="F57" s="2">
        <v>-2.8302540253877604E-2</v>
      </c>
      <c r="G57" s="2">
        <f t="shared" si="0"/>
        <v>-2.5357145795015273E-2</v>
      </c>
      <c r="H57" s="2">
        <f t="shared" si="1"/>
        <v>2.9453944588623306E-3</v>
      </c>
      <c r="J57" s="2"/>
      <c r="K57" s="2"/>
      <c r="L57" s="2"/>
      <c r="M57" s="2"/>
    </row>
    <row r="58" spans="1:13">
      <c r="A58" s="1">
        <v>39872</v>
      </c>
      <c r="B58" s="2">
        <v>-9.4700000000000117E-2</v>
      </c>
      <c r="C58" s="2">
        <v>-8.8303376531975508E-2</v>
      </c>
      <c r="D58" s="2">
        <v>-0.10404185481597994</v>
      </c>
      <c r="E58" s="2">
        <v>-8.2929369956179277E-2</v>
      </c>
      <c r="F58" s="2">
        <v>-7.5399999999999995E-2</v>
      </c>
      <c r="G58" s="2">
        <f t="shared" si="0"/>
        <v>-9.2493650326033711E-2</v>
      </c>
      <c r="H58" s="2">
        <f t="shared" si="1"/>
        <v>-1.7093650326033716E-2</v>
      </c>
      <c r="J58" s="2"/>
      <c r="K58" s="2"/>
      <c r="L58" s="2"/>
      <c r="M58" s="2"/>
    </row>
    <row r="59" spans="1:13">
      <c r="A59" s="1">
        <v>39903</v>
      </c>
      <c r="B59" s="2">
        <v>0.10600000000000009</v>
      </c>
      <c r="C59" s="2">
        <v>0.14547713387973182</v>
      </c>
      <c r="D59" s="2">
        <v>9.6331798904253141E-2</v>
      </c>
      <c r="E59" s="2">
        <v>2.0952677539279652E-2</v>
      </c>
      <c r="F59" s="2">
        <v>6.7900000000000002E-2</v>
      </c>
      <c r="G59" s="2">
        <f t="shared" si="0"/>
        <v>9.2190402580816178E-2</v>
      </c>
      <c r="H59" s="2">
        <f t="shared" si="1"/>
        <v>2.4290402580816176E-2</v>
      </c>
      <c r="J59" s="2"/>
      <c r="K59" s="2"/>
      <c r="L59" s="2"/>
      <c r="M59" s="2"/>
    </row>
    <row r="60" spans="1:13">
      <c r="A60" s="1">
        <v>39933</v>
      </c>
      <c r="B60" s="2">
        <v>2.3700000000000054E-2</v>
      </c>
      <c r="C60" s="2">
        <v>-3.0073446178955909E-2</v>
      </c>
      <c r="D60" s="2">
        <v>5.3000226190583311E-2</v>
      </c>
      <c r="E60" s="2">
        <v>-1.0863353337412618E-2</v>
      </c>
      <c r="F60" s="2">
        <v>2.35E-2</v>
      </c>
      <c r="G60" s="2">
        <f t="shared" si="0"/>
        <v>8.9408566685537094E-3</v>
      </c>
      <c r="H60" s="2">
        <f t="shared" si="1"/>
        <v>-1.4559143331446291E-2</v>
      </c>
      <c r="J60" s="2"/>
      <c r="K60" s="2"/>
      <c r="L60" s="2"/>
      <c r="M60" s="2"/>
    </row>
    <row r="61" spans="1:13">
      <c r="A61" s="1">
        <v>39964</v>
      </c>
      <c r="B61" s="2">
        <v>8.6400000000000032E-2</v>
      </c>
      <c r="C61" s="2">
        <v>0.16374719768975643</v>
      </c>
      <c r="D61" s="2">
        <v>5.4914327224164117E-2</v>
      </c>
      <c r="E61" s="2">
        <v>0.10117037964180575</v>
      </c>
      <c r="F61" s="2">
        <v>7.17E-2</v>
      </c>
      <c r="G61" s="2">
        <f t="shared" si="0"/>
        <v>0.10155797613893158</v>
      </c>
      <c r="H61" s="2">
        <f t="shared" si="1"/>
        <v>2.9857976138931583E-2</v>
      </c>
      <c r="J61" s="2"/>
      <c r="K61" s="2"/>
      <c r="L61" s="2"/>
      <c r="M61" s="2"/>
    </row>
    <row r="62" spans="1:13">
      <c r="A62" s="1">
        <v>39994</v>
      </c>
      <c r="B62" s="2">
        <v>-1.3399999999999967E-2</v>
      </c>
      <c r="C62" s="2">
        <v>-9.0200523347746309E-2</v>
      </c>
      <c r="D62" s="2">
        <v>2.8036709898076495E-2</v>
      </c>
      <c r="E62" s="2">
        <v>1.3951587004828347E-2</v>
      </c>
      <c r="F62" s="2">
        <v>-1.1999999999999999E-3</v>
      </c>
      <c r="G62" s="2">
        <f t="shared" si="0"/>
        <v>-1.5403056611210358E-2</v>
      </c>
      <c r="H62" s="2">
        <f t="shared" si="1"/>
        <v>-1.4203056611210359E-2</v>
      </c>
      <c r="J62" s="2"/>
      <c r="K62" s="2"/>
      <c r="L62" s="2"/>
      <c r="M62" s="2"/>
    </row>
    <row r="63" spans="1:13">
      <c r="A63" s="1">
        <v>40025</v>
      </c>
      <c r="B63" s="2">
        <v>8.9900000000000091E-2</v>
      </c>
      <c r="C63" s="2">
        <v>9.8066659489056685E-2</v>
      </c>
      <c r="D63" s="2">
        <v>8.3602540168654649E-2</v>
      </c>
      <c r="E63" s="2">
        <v>8.0806518968491003E-2</v>
      </c>
      <c r="F63" s="2">
        <v>8.2600000000000007E-2</v>
      </c>
      <c r="G63" s="2">
        <f t="shared" si="0"/>
        <v>8.8093929656550607E-2</v>
      </c>
      <c r="H63" s="2">
        <f t="shared" si="1"/>
        <v>5.4939296565506002E-3</v>
      </c>
      <c r="J63" s="2"/>
      <c r="K63" s="2"/>
      <c r="L63" s="2"/>
      <c r="M63" s="2"/>
    </row>
    <row r="64" spans="1:13">
      <c r="A64" s="1">
        <v>40056</v>
      </c>
      <c r="B64" s="2">
        <v>4.0899999999999936E-2</v>
      </c>
      <c r="C64" s="2">
        <v>1.8199730132272496E-2</v>
      </c>
      <c r="D64" s="2">
        <v>6.926134912950066E-2</v>
      </c>
      <c r="E64" s="2">
        <v>3.0986823634554739E-2</v>
      </c>
      <c r="F64" s="2">
        <v>4.19E-2</v>
      </c>
      <c r="G64" s="2">
        <f t="shared" si="0"/>
        <v>3.9836975724081958E-2</v>
      </c>
      <c r="H64" s="2">
        <f t="shared" si="1"/>
        <v>-2.063024275918042E-3</v>
      </c>
      <c r="J64" s="2"/>
      <c r="K64" s="2"/>
      <c r="L64" s="2"/>
      <c r="M64" s="2"/>
    </row>
    <row r="65" spans="1:13">
      <c r="A65" s="1">
        <v>40086</v>
      </c>
      <c r="B65" s="2">
        <v>3.9000000000000146E-3</v>
      </c>
      <c r="C65" s="2">
        <v>-5.5622555335960167E-3</v>
      </c>
      <c r="D65" s="2">
        <v>1.1745716361955871E-2</v>
      </c>
      <c r="E65" s="2">
        <v>3.1286597744930145E-2</v>
      </c>
      <c r="F65" s="2">
        <v>1.9E-2</v>
      </c>
      <c r="G65" s="2">
        <f t="shared" si="0"/>
        <v>1.0342514643322503E-2</v>
      </c>
      <c r="H65" s="2">
        <f t="shared" si="1"/>
        <v>-8.6574853566774961E-3</v>
      </c>
      <c r="J65" s="2"/>
      <c r="K65" s="2"/>
      <c r="L65" s="2"/>
      <c r="M65" s="2"/>
    </row>
    <row r="66" spans="1:13">
      <c r="A66" s="1">
        <v>40117</v>
      </c>
      <c r="B66" s="2">
        <v>4.4399999999999995E-2</v>
      </c>
      <c r="C66" s="2">
        <v>7.4793418916925036E-2</v>
      </c>
      <c r="D66" s="2">
        <v>4.3447479923018006E-2</v>
      </c>
      <c r="E66" s="2">
        <v>4.1223024396929153E-2</v>
      </c>
      <c r="F66" s="2">
        <v>4.1599999999999998E-2</v>
      </c>
      <c r="G66" s="2">
        <f t="shared" si="0"/>
        <v>5.0965980809218048E-2</v>
      </c>
      <c r="H66" s="2">
        <f t="shared" si="1"/>
        <v>9.3659808092180497E-3</v>
      </c>
      <c r="J66" s="2"/>
      <c r="K66" s="2"/>
      <c r="L66" s="2"/>
      <c r="M66" s="2"/>
    </row>
    <row r="67" spans="1:13">
      <c r="A67" s="1">
        <v>40147</v>
      </c>
      <c r="B67" s="2">
        <v>4.5999999999999375E-3</v>
      </c>
      <c r="C67" s="2">
        <v>5.8922963395170669E-2</v>
      </c>
      <c r="D67" s="2">
        <v>3.8046509714284582E-5</v>
      </c>
      <c r="E67" s="2">
        <v>1.1034036409371728E-2</v>
      </c>
      <c r="F67" s="2">
        <v>-1.55E-2</v>
      </c>
      <c r="G67" s="2">
        <f t="shared" si="0"/>
        <v>1.8648761578564155E-2</v>
      </c>
      <c r="H67" s="2">
        <f t="shared" si="1"/>
        <v>3.4148761578564155E-2</v>
      </c>
      <c r="J67" s="2"/>
      <c r="K67" s="2"/>
      <c r="L67" s="2"/>
      <c r="M67" s="2"/>
    </row>
    <row r="68" spans="1:13">
      <c r="A68" s="1">
        <v>40178</v>
      </c>
      <c r="B68" s="2">
        <v>3.8599999999999968E-2</v>
      </c>
      <c r="C68" s="2">
        <v>2.5196703643980634E-2</v>
      </c>
      <c r="D68" s="2">
        <v>3.7600000000000078E-2</v>
      </c>
      <c r="E68" s="2">
        <v>6.1099999999999932E-2</v>
      </c>
      <c r="F68" s="2">
        <v>3.8899999999999997E-2</v>
      </c>
      <c r="G68" s="2">
        <f t="shared" si="0"/>
        <v>4.0624175910995153E-2</v>
      </c>
      <c r="H68" s="2">
        <f t="shared" si="1"/>
        <v>1.7241759109951557E-3</v>
      </c>
      <c r="J68" s="2"/>
      <c r="K68" s="2"/>
      <c r="L68" s="2"/>
      <c r="M68" s="2"/>
    </row>
    <row r="69" spans="1:13">
      <c r="A69" s="1">
        <v>40209</v>
      </c>
      <c r="B69" s="2">
        <v>-2.6200000000000001E-2</v>
      </c>
      <c r="C69" s="2">
        <v>-6.4069681509028253E-2</v>
      </c>
      <c r="D69" s="2">
        <v>-2.0800000000000041E-2</v>
      </c>
      <c r="E69" s="2">
        <v>-2.5499999999999967E-2</v>
      </c>
      <c r="F69" s="2">
        <v>-2.3099999999999999E-2</v>
      </c>
      <c r="G69" s="2">
        <f t="shared" si="0"/>
        <v>-3.4142420377257066E-2</v>
      </c>
      <c r="H69" s="2">
        <f t="shared" si="1"/>
        <v>-1.1042420377257067E-2</v>
      </c>
      <c r="J69" s="2"/>
      <c r="K69" s="2"/>
      <c r="L69" s="2"/>
      <c r="M69" s="2"/>
    </row>
    <row r="70" spans="1:13">
      <c r="A70" s="1">
        <v>40237</v>
      </c>
      <c r="B70" s="2">
        <v>1.0099999999999998E-2</v>
      </c>
      <c r="C70" s="2">
        <v>-9.8469333896337163E-3</v>
      </c>
      <c r="D70" s="2">
        <v>2.1200000000000108E-2</v>
      </c>
      <c r="E70" s="2">
        <v>2.6399999999999979E-2</v>
      </c>
      <c r="F70" s="2">
        <v>2.41E-2</v>
      </c>
      <c r="G70" s="2">
        <f t="shared" si="0"/>
        <v>1.1963266652591592E-2</v>
      </c>
      <c r="H70" s="2">
        <f t="shared" si="1"/>
        <v>-1.2136733347408408E-2</v>
      </c>
      <c r="J70" s="2"/>
      <c r="K70" s="2"/>
      <c r="L70" s="2"/>
      <c r="M70" s="2"/>
    </row>
    <row r="71" spans="1:13">
      <c r="A71" s="1">
        <v>40268</v>
      </c>
      <c r="B71" s="2">
        <v>6.9199999999999928E-2</v>
      </c>
      <c r="C71" s="2">
        <v>0.10167894137564892</v>
      </c>
      <c r="D71" s="2">
        <v>6.4599999999999991E-2</v>
      </c>
      <c r="E71" s="2">
        <v>8.329999999999993E-2</v>
      </c>
      <c r="F71" s="2">
        <v>5.2400000000000002E-2</v>
      </c>
      <c r="G71" s="2">
        <f t="shared" ref="G71:G78" si="2">SUMPRODUCT($B$1:$E$1,B71:E71)</f>
        <v>7.9694735343912193E-2</v>
      </c>
      <c r="H71" s="2">
        <f t="shared" ref="H71:H78" si="3">G71-F71</f>
        <v>2.7294735343912191E-2</v>
      </c>
      <c r="J71" s="2"/>
      <c r="K71" s="2"/>
      <c r="L71" s="2"/>
      <c r="M71" s="2"/>
    </row>
    <row r="72" spans="1:13">
      <c r="A72" s="1">
        <v>40298</v>
      </c>
      <c r="B72" s="2">
        <v>5.8000000000000274E-3</v>
      </c>
      <c r="C72" s="2">
        <v>-1.6362411742846472E-2</v>
      </c>
      <c r="D72" s="2">
        <v>9.100000000000108E-3</v>
      </c>
      <c r="E72" s="2">
        <v>-1.8000000000000238E-3</v>
      </c>
      <c r="F72" s="2">
        <v>-6.4000000000000003E-3</v>
      </c>
      <c r="G72" s="2">
        <f t="shared" si="2"/>
        <v>-8.1560293571159015E-4</v>
      </c>
      <c r="H72" s="2">
        <f t="shared" si="3"/>
        <v>5.5843970642884102E-3</v>
      </c>
      <c r="J72" s="2"/>
      <c r="K72" s="2"/>
      <c r="L72" s="2"/>
      <c r="M72" s="2"/>
    </row>
    <row r="73" spans="1:13">
      <c r="A73" s="1">
        <v>40329</v>
      </c>
      <c r="B73" s="2">
        <v>-4.4399999999999995E-2</v>
      </c>
      <c r="C73" s="2">
        <v>-6.4952441668732819E-2</v>
      </c>
      <c r="D73" s="2">
        <v>-3.0499999999999972E-2</v>
      </c>
      <c r="E73" s="2">
        <v>-4.7400000000000109E-2</v>
      </c>
      <c r="F73" s="2">
        <v>-3.4993000000000003E-2</v>
      </c>
      <c r="G73" s="2">
        <f t="shared" si="2"/>
        <v>-4.6813110417183224E-2</v>
      </c>
      <c r="H73" s="2">
        <f t="shared" si="3"/>
        <v>-1.182011041718322E-2</v>
      </c>
      <c r="J73" s="2"/>
      <c r="K73" s="2"/>
      <c r="L73" s="2"/>
      <c r="M73" s="2"/>
    </row>
    <row r="74" spans="1:13">
      <c r="A74" s="1">
        <v>40359</v>
      </c>
      <c r="B74" s="2">
        <v>-3.279999999999994E-2</v>
      </c>
      <c r="C74" s="2">
        <v>-4.1804851770172236E-2</v>
      </c>
      <c r="D74" s="2">
        <v>-3.9900000000000047E-2</v>
      </c>
      <c r="E74" s="2">
        <v>-3.8100000000000023E-2</v>
      </c>
      <c r="F74" s="2">
        <v>-2.6800000000000001E-2</v>
      </c>
      <c r="G74" s="2">
        <f t="shared" si="2"/>
        <v>-3.8151212942543061E-2</v>
      </c>
      <c r="H74" s="2">
        <f t="shared" si="3"/>
        <v>-1.135121294254306E-2</v>
      </c>
      <c r="J74" s="2"/>
      <c r="K74" s="2"/>
      <c r="L74" s="2"/>
      <c r="M74" s="2"/>
    </row>
    <row r="75" spans="1:13">
      <c r="A75" s="1">
        <v>40390</v>
      </c>
      <c r="B75" s="2">
        <v>8.3800000000000097E-2</v>
      </c>
      <c r="C75" s="2">
        <v>5.9498135467406899E-2</v>
      </c>
      <c r="D75" s="2">
        <v>6.8599999999999994E-2</v>
      </c>
      <c r="E75" s="2">
        <v>0.10149999999999992</v>
      </c>
      <c r="F75" s="2">
        <v>7.5602199993894947E-2</v>
      </c>
      <c r="G75" s="2">
        <f t="shared" si="2"/>
        <v>7.8349533866851728E-2</v>
      </c>
      <c r="H75" s="2">
        <f t="shared" si="3"/>
        <v>2.7473338729567809E-3</v>
      </c>
      <c r="J75" s="2"/>
      <c r="K75" s="2"/>
      <c r="L75" s="2"/>
      <c r="M75" s="2"/>
    </row>
    <row r="76" spans="1:13">
      <c r="A76" s="1">
        <v>40421</v>
      </c>
      <c r="B76" s="2">
        <v>-3.0200000000000005E-2</v>
      </c>
      <c r="C76" s="2">
        <v>-6.252461476595772E-2</v>
      </c>
      <c r="D76" s="2">
        <v>-2.1000000000000019E-2</v>
      </c>
      <c r="E76" s="2">
        <v>-4.2300000000000004E-2</v>
      </c>
      <c r="F76" s="2">
        <v>-2.5899999999999999E-2</v>
      </c>
      <c r="G76" s="2">
        <f t="shared" si="2"/>
        <v>-3.9006153691489437E-2</v>
      </c>
      <c r="H76" s="2">
        <f t="shared" si="3"/>
        <v>-1.3106153691489437E-2</v>
      </c>
      <c r="J76" s="2"/>
      <c r="K76" s="2"/>
      <c r="L76" s="2"/>
      <c r="M76" s="2"/>
    </row>
    <row r="77" spans="1:13">
      <c r="A77" s="1">
        <v>40451</v>
      </c>
      <c r="B77" s="2">
        <v>8.7699999999999889E-2</v>
      </c>
      <c r="C77" s="2">
        <v>7.8431025714728042E-2</v>
      </c>
      <c r="D77" s="2">
        <v>8.2999999999999963E-2</v>
      </c>
      <c r="E77" s="2">
        <v>0.12070000000000003</v>
      </c>
      <c r="F77" s="2">
        <v>8.4935899999999995E-2</v>
      </c>
      <c r="G77" s="2">
        <f t="shared" si="2"/>
        <v>9.2457756428681981E-2</v>
      </c>
      <c r="H77" s="2">
        <f t="shared" si="3"/>
        <v>7.5218564286819861E-3</v>
      </c>
      <c r="J77" s="2"/>
      <c r="K77" s="2"/>
      <c r="L77" s="2"/>
      <c r="M77" s="2"/>
    </row>
    <row r="78" spans="1:13">
      <c r="A78" s="1">
        <v>40482</v>
      </c>
      <c r="B78" s="2">
        <v>2.3500000000000076E-2</v>
      </c>
      <c r="C78" s="2">
        <v>8.5438613037220446E-2</v>
      </c>
      <c r="D78" s="2">
        <v>2.0999999999999908E-2</v>
      </c>
      <c r="E78" s="2">
        <v>2.4299999999999988E-2</v>
      </c>
      <c r="F78" s="2">
        <v>3.7663477603026498E-2</v>
      </c>
      <c r="G78" s="2">
        <f t="shared" si="2"/>
        <v>3.8559653259305104E-2</v>
      </c>
      <c r="H78" s="2">
        <f t="shared" si="3"/>
        <v>8.961756562786069E-4</v>
      </c>
      <c r="J78" s="2"/>
      <c r="K78" s="2"/>
      <c r="L78" s="2"/>
      <c r="M78" s="2"/>
    </row>
  </sheetData>
  <mergeCells count="2">
    <mergeCell ref="J4:M4"/>
    <mergeCell ref="J2:M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Calculation Data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VirtualStaticVoid</dc:creator>
  <cp:lastModifiedBy>VirtualStaticVoid</cp:lastModifiedBy>
  <dcterms:created xsi:type="dcterms:W3CDTF">2011-07-19T19:05:06Z</dcterms:created>
  <dcterms:modified xsi:type="dcterms:W3CDTF">2011-07-19T19:32:19Z</dcterms:modified>
</cp:coreProperties>
</file>